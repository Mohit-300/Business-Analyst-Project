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5f7a9bbd705e8d4/Documents/PROJECT/"/>
    </mc:Choice>
  </mc:AlternateContent>
  <xr:revisionPtr revIDLastSave="9" documentId="8_{DF318FDC-B2B2-4598-8AD5-1A8009DE8082}" xr6:coauthVersionLast="47" xr6:coauthVersionMax="47" xr10:uidLastSave="{BFC23723-62C0-42ED-B01C-D56A3AB3C930}"/>
  <bookViews>
    <workbookView xWindow="-108" yWindow="-108" windowWidth="23256" windowHeight="12456" xr2:uid="{0009C188-3206-4F77-A1CE-D8C1F916BE3C}"/>
  </bookViews>
  <sheets>
    <sheet name="Efficiency" sheetId="2" r:id="rId1"/>
    <sheet name="Break" sheetId="1" r:id="rId2"/>
    <sheet name="OverAll Performance" sheetId="3" r:id="rId3"/>
    <sheet name="Summary" sheetId="4" r:id="rId4"/>
  </sheets>
  <externalReferences>
    <externalReference r:id="rId5"/>
  </externalReferences>
  <definedNames>
    <definedName name="Break">Break!$A$1:$I$150</definedName>
    <definedName name="Efficiency">Efficiency!$A$1:$Q$150</definedName>
    <definedName name="OverAll">'OverAll Performance'!$A$1:$J$150</definedName>
  </definedNames>
  <calcPr calcId="191029" iterateCount="100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2" i="4"/>
  <c r="A1" i="4"/>
</calcChain>
</file>

<file path=xl/sharedStrings.xml><?xml version="1.0" encoding="utf-8"?>
<sst xmlns="http://schemas.openxmlformats.org/spreadsheetml/2006/main" count="2429" uniqueCount="1003">
  <si>
    <t>Employee</t>
  </si>
  <si>
    <t>Lunch</t>
  </si>
  <si>
    <t>Normal Break</t>
  </si>
  <si>
    <t>Feedback</t>
  </si>
  <si>
    <t>Training</t>
  </si>
  <si>
    <t>Meeting</t>
  </si>
  <si>
    <t>Unwanted Break</t>
  </si>
  <si>
    <t>Other Work</t>
  </si>
  <si>
    <t>Total Break Taken</t>
  </si>
  <si>
    <t>Mum_Abdul Hamid (1008512)</t>
  </si>
  <si>
    <t>00:36:49</t>
  </si>
  <si>
    <t>00:30:24</t>
  </si>
  <si>
    <t>00:00:00</t>
  </si>
  <si>
    <t>01:08:42</t>
  </si>
  <si>
    <t>Mum_Afzal Husain (1008513)</t>
  </si>
  <si>
    <t>00:39:56</t>
  </si>
  <si>
    <t>00:29:55</t>
  </si>
  <si>
    <t>01:09:59</t>
  </si>
  <si>
    <t>Mum_Anamika Gupta (1008514)</t>
  </si>
  <si>
    <t>00:39:49</t>
  </si>
  <si>
    <t>00:29:49</t>
  </si>
  <si>
    <t>00:04:09</t>
  </si>
  <si>
    <t>01:13:54</t>
  </si>
  <si>
    <t>Mum_Anikuttan (1008515)</t>
  </si>
  <si>
    <t>00:39:17</t>
  </si>
  <si>
    <t>00:22:20</t>
  </si>
  <si>
    <t>01:10:58</t>
  </si>
  <si>
    <t>02:19:02</t>
  </si>
  <si>
    <t>Mum_Anil Kumar (1008516)</t>
  </si>
  <si>
    <t>00:29:44</t>
  </si>
  <si>
    <t>00:29:31</t>
  </si>
  <si>
    <t>02:05:20</t>
  </si>
  <si>
    <t>03:04:58</t>
  </si>
  <si>
    <t>Mum_Anita Dixit (1008517)</t>
  </si>
  <si>
    <t>00:14:56</t>
  </si>
  <si>
    <t>00:10:12</t>
  </si>
  <si>
    <t>00:27:07</t>
  </si>
  <si>
    <t>Mum_Anita Ghore (1008518)</t>
  </si>
  <si>
    <t>00:39:59</t>
  </si>
  <si>
    <t>00:29:58</t>
  </si>
  <si>
    <t>01:31:35</t>
  </si>
  <si>
    <t>02:41:42</t>
  </si>
  <si>
    <t>Mum_Anjali Deoram (1008519)</t>
  </si>
  <si>
    <t>00:40:23</t>
  </si>
  <si>
    <t>00:29:26</t>
  </si>
  <si>
    <t>01:13:10</t>
  </si>
  <si>
    <t>Mum_Anjali Sahay (1008520)</t>
  </si>
  <si>
    <t>00:39:55</t>
  </si>
  <si>
    <t>00:24:49</t>
  </si>
  <si>
    <t>01:06:39</t>
  </si>
  <si>
    <t>Mum_Annu Latika (1008521)</t>
  </si>
  <si>
    <t>00:39:51</t>
  </si>
  <si>
    <t>00:29:59</t>
  </si>
  <si>
    <t>01:09:57</t>
  </si>
  <si>
    <t>Mum_Anoop Narayan (1008522)</t>
  </si>
  <si>
    <t>00:39:41</t>
  </si>
  <si>
    <t>00:29:25</t>
  </si>
  <si>
    <t>01:09:15</t>
  </si>
  <si>
    <t>Mum_Anoop Raj (1008523)</t>
  </si>
  <si>
    <t>00:39:05</t>
  </si>
  <si>
    <t>01:05:04</t>
  </si>
  <si>
    <t>00:12:32</t>
  </si>
  <si>
    <t>03:01:18</t>
  </si>
  <si>
    <t>Mum_Anubhuti Gupta (1008524)</t>
  </si>
  <si>
    <t>00:39:06</t>
  </si>
  <si>
    <t>00:25:25</t>
  </si>
  <si>
    <t>01:01:32</t>
  </si>
  <si>
    <t>02:06:41</t>
  </si>
  <si>
    <t>Mum_Arun Kumar (1008525)</t>
  </si>
  <si>
    <t>00:43:00</t>
  </si>
  <si>
    <t>00:27:13</t>
  </si>
  <si>
    <t>01:10:34</t>
  </si>
  <si>
    <t>Mum_Ashish Kumar (1008526)</t>
  </si>
  <si>
    <t>00:37:37</t>
  </si>
  <si>
    <t>00:08:43</t>
  </si>
  <si>
    <t>01:16:59</t>
  </si>
  <si>
    <t>Mum_Ashok Kumar (1008527)</t>
  </si>
  <si>
    <t>00:42:06</t>
  </si>
  <si>
    <t>00:15:56</t>
  </si>
  <si>
    <t>01:25:31</t>
  </si>
  <si>
    <t>02:24:20</t>
  </si>
  <si>
    <t>Hyd_Ashok Kumar (1008528)</t>
  </si>
  <si>
    <t>00:39:10</t>
  </si>
  <si>
    <t>00:13:03</t>
  </si>
  <si>
    <t>00:56:29</t>
  </si>
  <si>
    <t>Hyd_Ashok Kumar (1008529)</t>
  </si>
  <si>
    <t>00:39:57</t>
  </si>
  <si>
    <t>01:10:07</t>
  </si>
  <si>
    <t>Hyd_Ashok Kumar (1008530)</t>
  </si>
  <si>
    <t>00:39:11</t>
  </si>
  <si>
    <t>00:27:21</t>
  </si>
  <si>
    <t>00:59:58</t>
  </si>
  <si>
    <t>00:31:07</t>
  </si>
  <si>
    <t>02:40:10</t>
  </si>
  <si>
    <t>Hyd_Ashok Mahto (1008531)</t>
  </si>
  <si>
    <t>00:40:20</t>
  </si>
  <si>
    <t>00:30:39</t>
  </si>
  <si>
    <t>00:01:30</t>
  </si>
  <si>
    <t>01:14:30</t>
  </si>
  <si>
    <t>Hyd_Atul Kumar (1008532)</t>
  </si>
  <si>
    <t>00:39:29</t>
  </si>
  <si>
    <t>00:27:03</t>
  </si>
  <si>
    <t>01:06:59</t>
  </si>
  <si>
    <t>Hyd_Azam (1008533)</t>
  </si>
  <si>
    <t>00:39:37</t>
  </si>
  <si>
    <t>00:29:04</t>
  </si>
  <si>
    <t>01:09:47</t>
  </si>
  <si>
    <t>Hyd_Bhagwat Singh (1008534)</t>
  </si>
  <si>
    <t>00:40:00</t>
  </si>
  <si>
    <t>00:30:03</t>
  </si>
  <si>
    <t>00:59:16</t>
  </si>
  <si>
    <t>02:10:18</t>
  </si>
  <si>
    <t>Hyd_Bindu Nair (1008535)</t>
  </si>
  <si>
    <t>00:39:50</t>
  </si>
  <si>
    <t>00:30:09</t>
  </si>
  <si>
    <t>01:01:05</t>
  </si>
  <si>
    <t>02:11:17</t>
  </si>
  <si>
    <t>Hyd_Daleep Singh (1008536)</t>
  </si>
  <si>
    <t>00:39:28</t>
  </si>
  <si>
    <t>00:26:22</t>
  </si>
  <si>
    <t>01:12:54</t>
  </si>
  <si>
    <t>Hyd_Deepak Kumar (1008537)</t>
  </si>
  <si>
    <t>00:28:49</t>
  </si>
  <si>
    <t>00:30:30</t>
  </si>
  <si>
    <t>Hyd_Deepika Nigam (1008538)</t>
  </si>
  <si>
    <t>00:39:54</t>
  </si>
  <si>
    <t>00:29:57</t>
  </si>
  <si>
    <t>01:11:40</t>
  </si>
  <si>
    <t>Hyd_Dinesh Kumar (1008539)</t>
  </si>
  <si>
    <t>00:40:10</t>
  </si>
  <si>
    <t>00:29:29</t>
  </si>
  <si>
    <t>01:10:03</t>
  </si>
  <si>
    <t>Hyd_Hari Kumar (1008540)</t>
  </si>
  <si>
    <t>00:40:56</t>
  </si>
  <si>
    <t>00:31:30</t>
  </si>
  <si>
    <t>00:59:59</t>
  </si>
  <si>
    <t>00:31:59</t>
  </si>
  <si>
    <t>02:44:52</t>
  </si>
  <si>
    <t>Hyd_Heeramani Choudhary (1008541)</t>
  </si>
  <si>
    <t>00:30:00</t>
  </si>
  <si>
    <t>00:25:55</t>
  </si>
  <si>
    <t>00:08:29</t>
  </si>
  <si>
    <t>01:20:20</t>
  </si>
  <si>
    <t>Hyd_Indra Pal (1008542)</t>
  </si>
  <si>
    <t>00:29:16</t>
  </si>
  <si>
    <t>Hyd_Indra Singh (1008543)</t>
  </si>
  <si>
    <t>00:39:19</t>
  </si>
  <si>
    <t>00:28:23</t>
  </si>
  <si>
    <t>01:01:07</t>
  </si>
  <si>
    <t>02:09:14</t>
  </si>
  <si>
    <t>Hyd_Jagdish Chandra (1008544)</t>
  </si>
  <si>
    <t>00:26:41</t>
  </si>
  <si>
    <t>01:09:03</t>
  </si>
  <si>
    <t>Hyd_Jairaj Vatham (1008545)</t>
  </si>
  <si>
    <t>00:39:09</t>
  </si>
  <si>
    <t>00:29:05</t>
  </si>
  <si>
    <t>01:09:56</t>
  </si>
  <si>
    <t>Hyd_Janardan Mishra (1008546)</t>
  </si>
  <si>
    <t>00:25:16</t>
  </si>
  <si>
    <t>00:59:55</t>
  </si>
  <si>
    <t>01:28:09</t>
  </si>
  <si>
    <t>Hyd_Jitendra Kumar (1008547)</t>
  </si>
  <si>
    <t>00:39:30</t>
  </si>
  <si>
    <t>00:29:15</t>
  </si>
  <si>
    <t>00:57:43</t>
  </si>
  <si>
    <t>00:28:19</t>
  </si>
  <si>
    <t>02:35:12</t>
  </si>
  <si>
    <t>Hyd_John D'Costa (1008548)</t>
  </si>
  <si>
    <t>00:39:48</t>
  </si>
  <si>
    <t>00:29:36</t>
  </si>
  <si>
    <t>01:09:36</t>
  </si>
  <si>
    <t>Hyd_Julie S (1008549)</t>
  </si>
  <si>
    <t>01:10:44</t>
  </si>
  <si>
    <t>Hyd_Jyoti Tulsani (1008550)</t>
  </si>
  <si>
    <t>00:39:45</t>
  </si>
  <si>
    <t>00:29:47</t>
  </si>
  <si>
    <t>01:10:27</t>
  </si>
  <si>
    <t>Hyd_Kahkasha Parveen (1008551)</t>
  </si>
  <si>
    <t>00:41:56</t>
  </si>
  <si>
    <t>00:28:08</t>
  </si>
  <si>
    <t>01:10:12</t>
  </si>
  <si>
    <t>Hyd_Kailash Nath (1008552)</t>
  </si>
  <si>
    <t>00:38:04</t>
  </si>
  <si>
    <t>00:28:33</t>
  </si>
  <si>
    <t>01:07:40</t>
  </si>
  <si>
    <t>Hyd_Kalpana Agrawal (1008553)</t>
  </si>
  <si>
    <t>00:32:59</t>
  </si>
  <si>
    <t>00:32:50</t>
  </si>
  <si>
    <t>01:17:58</t>
  </si>
  <si>
    <t>02:24:54</t>
  </si>
  <si>
    <t>Hyd_Kamini Kumar (1008554)</t>
  </si>
  <si>
    <t>00:14:51</t>
  </si>
  <si>
    <t>00:15:00</t>
  </si>
  <si>
    <t>Hyd_Kamini Tiwari (1008555)</t>
  </si>
  <si>
    <t>00:36:12</t>
  </si>
  <si>
    <t>00:02:34</t>
  </si>
  <si>
    <t>01:09:45</t>
  </si>
  <si>
    <t>Hyd_Kavita Sharma (1008556)</t>
  </si>
  <si>
    <t>00:22:27</t>
  </si>
  <si>
    <t>00:32:36</t>
  </si>
  <si>
    <t>00:56:19</t>
  </si>
  <si>
    <t>Hyd_Kiran Khubchandani (1008557)</t>
  </si>
  <si>
    <t>00:39:52</t>
  </si>
  <si>
    <t>00:29:53</t>
  </si>
  <si>
    <t>01:00:11</t>
  </si>
  <si>
    <t>02:10:24</t>
  </si>
  <si>
    <t>Hyd_Kisun Sah (1008558)</t>
  </si>
  <si>
    <t>01:09:28</t>
  </si>
  <si>
    <t>Hyd_Krishana Kumar (1008559)</t>
  </si>
  <si>
    <t>00:29:39</t>
  </si>
  <si>
    <t>Hyd_Kunj Bihari (1008560)</t>
  </si>
  <si>
    <t>00:30:01</t>
  </si>
  <si>
    <t>01:10:11</t>
  </si>
  <si>
    <t>Hyd_Leena George (1008561)</t>
  </si>
  <si>
    <t>00:15:12</t>
  </si>
  <si>
    <t>00:02:41</t>
  </si>
  <si>
    <t>00:18:10</t>
  </si>
  <si>
    <t>Hyd_Lilly Lucy (1008562)</t>
  </si>
  <si>
    <t>00:20:52</t>
  </si>
  <si>
    <t>00:30:04</t>
  </si>
  <si>
    <t>00:23:27</t>
  </si>
  <si>
    <t>01:14:44</t>
  </si>
  <si>
    <t>Hyd_Mangal Singh (1008563)</t>
  </si>
  <si>
    <t>01:10:04</t>
  </si>
  <si>
    <t>Hyd_Manisha Shrivastava (1008564)</t>
  </si>
  <si>
    <t>00:39:58</t>
  </si>
  <si>
    <t>01:10:09</t>
  </si>
  <si>
    <t>Hyd_Manjusha Sinha (1008565)</t>
  </si>
  <si>
    <t>00:44:30</t>
  </si>
  <si>
    <t>00:25:13</t>
  </si>
  <si>
    <t>01:10:39</t>
  </si>
  <si>
    <t>Hyd_ManjuTiwari Lab (1008566)</t>
  </si>
  <si>
    <t>00:39:42</t>
  </si>
  <si>
    <t>00:30:06</t>
  </si>
  <si>
    <t>01:10:46</t>
  </si>
  <si>
    <t>Hyd_Manoj Kumar (1008567)</t>
  </si>
  <si>
    <t>01:09:53</t>
  </si>
  <si>
    <t>Hyd_Manoj Kumar (1008568)</t>
  </si>
  <si>
    <t>01:15:59</t>
  </si>
  <si>
    <t>Hyd_Masroor Adil (1008569)</t>
  </si>
  <si>
    <t>00:29:46</t>
  </si>
  <si>
    <t>01:11:39</t>
  </si>
  <si>
    <t>Hyd_Meena Zinjare (1008570)</t>
  </si>
  <si>
    <t>00:41:13</t>
  </si>
  <si>
    <t>01:06:34</t>
  </si>
  <si>
    <t>01:16:39</t>
  </si>
  <si>
    <t>03:34:45</t>
  </si>
  <si>
    <t>Hyd_Mehnaz Khan (1008571)</t>
  </si>
  <si>
    <t>00:29:32</t>
  </si>
  <si>
    <t>00:54:51</t>
  </si>
  <si>
    <t>00:07:49</t>
  </si>
  <si>
    <t>02:12:24</t>
  </si>
  <si>
    <t>Hyd_Mercy Thampi (1008572)</t>
  </si>
  <si>
    <t>00:14:48</t>
  </si>
  <si>
    <t>00:15:35</t>
  </si>
  <si>
    <t>Hyd_Miny Mole (1008573)</t>
  </si>
  <si>
    <t>01:02:58</t>
  </si>
  <si>
    <t>02:13:07</t>
  </si>
  <si>
    <t>Hyd_Mohd Rafi (1008574)</t>
  </si>
  <si>
    <t>00:57:24</t>
  </si>
  <si>
    <t>00:30:18</t>
  </si>
  <si>
    <t>02:38:29</t>
  </si>
  <si>
    <t>Hyd_Mubeen Khan (1008575)</t>
  </si>
  <si>
    <t>00:22:13</t>
  </si>
  <si>
    <t>00:29:56</t>
  </si>
  <si>
    <t>00:59:44</t>
  </si>
  <si>
    <t>00:30:05</t>
  </si>
  <si>
    <t>02:24:38</t>
  </si>
  <si>
    <t>Hyd_Mukesh Nagar (1008576)</t>
  </si>
  <si>
    <t>00:14:52</t>
  </si>
  <si>
    <t>00:14:31</t>
  </si>
  <si>
    <t>00:29:34</t>
  </si>
  <si>
    <t>Hyd_Nandu Kumar (1008577)</t>
  </si>
  <si>
    <t>00:21:10</t>
  </si>
  <si>
    <t>01:14:03</t>
  </si>
  <si>
    <t>Hyd_Narayan Singh (1008578)</t>
  </si>
  <si>
    <t>00:41:59</t>
  </si>
  <si>
    <t>00:24:59</t>
  </si>
  <si>
    <t>01:08:27</t>
  </si>
  <si>
    <t>Hyd_Neeraj Saxena (1008579)</t>
  </si>
  <si>
    <t>00:28:46</t>
  </si>
  <si>
    <t>01:05:52</t>
  </si>
  <si>
    <t>02:15:18</t>
  </si>
  <si>
    <t>Hyd_Neeru Mehta (1008580)</t>
  </si>
  <si>
    <t>Hyd_Nikita Panwalkar (1008581)</t>
  </si>
  <si>
    <t>00:40:04</t>
  </si>
  <si>
    <t>00:29:41</t>
  </si>
  <si>
    <t>00:27:31</t>
  </si>
  <si>
    <t>01:37:25</t>
  </si>
  <si>
    <t>Hyd_Nitin Bhatia (1008582)</t>
  </si>
  <si>
    <t>00:29:50</t>
  </si>
  <si>
    <t>Hyd_Om Prakash (1008583)</t>
  </si>
  <si>
    <t>00:29:54</t>
  </si>
  <si>
    <t>00:25:43</t>
  </si>
  <si>
    <t>01:36:03</t>
  </si>
  <si>
    <t>Hyd_Omprakash O (1008584)</t>
  </si>
  <si>
    <t>00:28:52</t>
  </si>
  <si>
    <t>01:01:11</t>
  </si>
  <si>
    <t>02:11:54</t>
  </si>
  <si>
    <t>Hyd_Owais Mohd (1008585)</t>
  </si>
  <si>
    <t>01:16:16</t>
  </si>
  <si>
    <t>02:26:26</t>
  </si>
  <si>
    <t>Hyd_Pankaj Shelkey (1008586)</t>
  </si>
  <si>
    <t>00:45:18</t>
  </si>
  <si>
    <t>01:55:26</t>
  </si>
  <si>
    <t>Hyd_Partha Sarathi (1008587)</t>
  </si>
  <si>
    <t>00:41:16</t>
  </si>
  <si>
    <t>00:29:14</t>
  </si>
  <si>
    <t>01:38:42</t>
  </si>
  <si>
    <t>Hyd_Prabha Desikan (1008588)</t>
  </si>
  <si>
    <t>00:39:03</t>
  </si>
  <si>
    <t>00:15:01</t>
  </si>
  <si>
    <t>02:36:37</t>
  </si>
  <si>
    <t>00:40:39</t>
  </si>
  <si>
    <t>04:11:26</t>
  </si>
  <si>
    <t>Hyd_Pramod Tiwari (1008589)</t>
  </si>
  <si>
    <t>00:16:04</t>
  </si>
  <si>
    <t>01:06:00</t>
  </si>
  <si>
    <t>02:18:51</t>
  </si>
  <si>
    <t>04:21:06</t>
  </si>
  <si>
    <t>Hyd_Prasannakumari S (1008590)</t>
  </si>
  <si>
    <t>00:30:15</t>
  </si>
  <si>
    <t>01:10:25</t>
  </si>
  <si>
    <t>Hyd_Praveen Kumar (1008591)</t>
  </si>
  <si>
    <t>00:41:26</t>
  </si>
  <si>
    <t>00:27:00</t>
  </si>
  <si>
    <t>01:28:47</t>
  </si>
  <si>
    <t>02:37:28</t>
  </si>
  <si>
    <t>Hyd_Rachel Mathew (1008592)</t>
  </si>
  <si>
    <t>00:36:50</t>
  </si>
  <si>
    <t>00:15:31</t>
  </si>
  <si>
    <t>02:27:33</t>
  </si>
  <si>
    <t>03:20:01</t>
  </si>
  <si>
    <t>Hyd_Rachita Anupam (1008593)</t>
  </si>
  <si>
    <t>00:43:23</t>
  </si>
  <si>
    <t>00:25:02</t>
  </si>
  <si>
    <t>01:08:32</t>
  </si>
  <si>
    <t>Hyd_Rachna Chauhan (1008594)</t>
  </si>
  <si>
    <t>00:30:20</t>
  </si>
  <si>
    <t>Hyd_Raj Kumar (1008595)</t>
  </si>
  <si>
    <t>00:39:14</t>
  </si>
  <si>
    <t>01:08:44</t>
  </si>
  <si>
    <t>Hyd_Rajeev Garg (1008596)</t>
  </si>
  <si>
    <t>00:25:04</t>
  </si>
  <si>
    <t>01:08:24</t>
  </si>
  <si>
    <t>Hyd_Rajeev Kumar (1008597)</t>
  </si>
  <si>
    <t>00:39:40</t>
  </si>
  <si>
    <t>00:30:17</t>
  </si>
  <si>
    <t>00:26:42</t>
  </si>
  <si>
    <t>01:37:06</t>
  </si>
  <si>
    <t>Hyd_Rajendra Gupta (1008598)</t>
  </si>
  <si>
    <t>00:40:05</t>
  </si>
  <si>
    <t>00:08:54</t>
  </si>
  <si>
    <t>01:19:08</t>
  </si>
  <si>
    <t>Hyd_Rajendra Kumar (1008599)</t>
  </si>
  <si>
    <t>00:41:03</t>
  </si>
  <si>
    <t>00:18:31</t>
  </si>
  <si>
    <t>00:51:05</t>
  </si>
  <si>
    <t>00:40:02</t>
  </si>
  <si>
    <t>02:34:16</t>
  </si>
  <si>
    <t>Hyd_Rajendra Prasad (1008600)</t>
  </si>
  <si>
    <t>00:39:47</t>
  </si>
  <si>
    <t>00:15:10</t>
  </si>
  <si>
    <t>03:11:33</t>
  </si>
  <si>
    <t>02:38:03</t>
  </si>
  <si>
    <t>00:22:18</t>
  </si>
  <si>
    <t>07:08:19</t>
  </si>
  <si>
    <t>Hyd_Rajesh Kumar (1008601)</t>
  </si>
  <si>
    <t>00:39:36</t>
  </si>
  <si>
    <t>00:01:27</t>
  </si>
  <si>
    <t>01:12:04</t>
  </si>
  <si>
    <t>Hyd_Rajesh Kumar (1008602)</t>
  </si>
  <si>
    <t>00:52:20</t>
  </si>
  <si>
    <t>02:06:35</t>
  </si>
  <si>
    <t>Hyd_Rajesh Sharma (1008603)</t>
  </si>
  <si>
    <t>00:15:03</t>
  </si>
  <si>
    <t>00:00:02</t>
  </si>
  <si>
    <t>00:08:32</t>
  </si>
  <si>
    <t>00:24:27</t>
  </si>
  <si>
    <t>Hyd_Raji Abraham (1008604)</t>
  </si>
  <si>
    <t>00:39:46</t>
  </si>
  <si>
    <t>Hyd_Rajshree Dhabekar (1008605)</t>
  </si>
  <si>
    <t>00:27:28</t>
  </si>
  <si>
    <t>02:37:19</t>
  </si>
  <si>
    <t>04:29:57</t>
  </si>
  <si>
    <t>08:15:09</t>
  </si>
  <si>
    <t>Hyd_Rakhi Jodhani (1008606)</t>
  </si>
  <si>
    <t>00:17:15</t>
  </si>
  <si>
    <t>02:37:45</t>
  </si>
  <si>
    <t>03:05:19</t>
  </si>
  <si>
    <t>06:39:44</t>
  </si>
  <si>
    <t>Hyd_Ramji Prasad (1008607)</t>
  </si>
  <si>
    <t>00:39:33</t>
  </si>
  <si>
    <t>00:29:13</t>
  </si>
  <si>
    <t>00:03:52</t>
  </si>
  <si>
    <t>01:13:46</t>
  </si>
  <si>
    <t>Del_Rashid (1008608)</t>
  </si>
  <si>
    <t>00:15:13</t>
  </si>
  <si>
    <t>04:49:55</t>
  </si>
  <si>
    <t>05:45:13</t>
  </si>
  <si>
    <t>Del_Rashmi Gajbe (1008609)</t>
  </si>
  <si>
    <t>00:37:12</t>
  </si>
  <si>
    <t>00:28:12</t>
  </si>
  <si>
    <t>00:57:50</t>
  </si>
  <si>
    <t>02:04:58</t>
  </si>
  <si>
    <t>Del_Ravi Kumar (1008610)</t>
  </si>
  <si>
    <t>01:11:14</t>
  </si>
  <si>
    <t>Del_Ravinder Kaur (1008611)</t>
  </si>
  <si>
    <t>00:38:25</t>
  </si>
  <si>
    <t>00:30:57</t>
  </si>
  <si>
    <t>Del_Rekha Agarwal (1008612)</t>
  </si>
  <si>
    <t>00:21:26</t>
  </si>
  <si>
    <t>00:48:36</t>
  </si>
  <si>
    <t>00:53:33</t>
  </si>
  <si>
    <t>00:31:25</t>
  </si>
  <si>
    <t>Del_Rekha Gupta (1008613)</t>
  </si>
  <si>
    <t>00:41:04</t>
  </si>
  <si>
    <t>01:50:37</t>
  </si>
  <si>
    <t>Del_Rekha Jain  (1008614)</t>
  </si>
  <si>
    <t>00:37:35</t>
  </si>
  <si>
    <t>00:38:20</t>
  </si>
  <si>
    <t>00:19:57</t>
  </si>
  <si>
    <t>01:36:57</t>
  </si>
  <si>
    <t>Del_Renu Pratap (1008615)</t>
  </si>
  <si>
    <t>00:38:05</t>
  </si>
  <si>
    <t>01:18:15</t>
  </si>
  <si>
    <t>02:37:00</t>
  </si>
  <si>
    <t>00:03:35</t>
  </si>
  <si>
    <t>05:07:55</t>
  </si>
  <si>
    <t>Del_Ritu Bhatnagar (1008616)</t>
  </si>
  <si>
    <t>00:42:29</t>
  </si>
  <si>
    <t>00:29:37</t>
  </si>
  <si>
    <t>01:13:20</t>
  </si>
  <si>
    <t>Del_Rohit Nishchal (1008617)</t>
  </si>
  <si>
    <t>00:29:27</t>
  </si>
  <si>
    <t>07:06:42</t>
  </si>
  <si>
    <t>08:17:00</t>
  </si>
  <si>
    <t>Del_Roli Bhatnagar (1008618)</t>
  </si>
  <si>
    <t>01:03:42</t>
  </si>
  <si>
    <t>02:10:16</t>
  </si>
  <si>
    <t>Del_Roma Rastogi (1008619)</t>
  </si>
  <si>
    <t>00:28:00</t>
  </si>
  <si>
    <t>00:25:27</t>
  </si>
  <si>
    <t>00:53:47</t>
  </si>
  <si>
    <t>Del_Roohi Haider (1008620)</t>
  </si>
  <si>
    <t>01:09:24</t>
  </si>
  <si>
    <t>Del_Sajid Naqvi (1008621)</t>
  </si>
  <si>
    <t>00:40:48</t>
  </si>
  <si>
    <t>00:27:41</t>
  </si>
  <si>
    <t>01:08:40</t>
  </si>
  <si>
    <t>Del_Salim (1008622)</t>
  </si>
  <si>
    <t>00:29:18</t>
  </si>
  <si>
    <t>00:48:57</t>
  </si>
  <si>
    <t>01:59:29</t>
  </si>
  <si>
    <t>Del_Sanjay Hire (1008623)</t>
  </si>
  <si>
    <t>00:39:16</t>
  </si>
  <si>
    <t>01:09:43</t>
  </si>
  <si>
    <t>Del_Sanjiv Subherwal (1008624)</t>
  </si>
  <si>
    <t>00:40:08</t>
  </si>
  <si>
    <t>00:29:42</t>
  </si>
  <si>
    <t>01:10:15</t>
  </si>
  <si>
    <t>Del_Sanju Ramdas (1008625)</t>
  </si>
  <si>
    <t>00:04:02</t>
  </si>
  <si>
    <t>01:13:56</t>
  </si>
  <si>
    <t>Del_Santosh Kumar (1008626)</t>
  </si>
  <si>
    <t>01:09:48</t>
  </si>
  <si>
    <t>Del_Santosh Kumar (1008627)</t>
  </si>
  <si>
    <t>00:40:01</t>
  </si>
  <si>
    <t>Del_Santosh Kumar (1008628)</t>
  </si>
  <si>
    <t>00:41:46</t>
  </si>
  <si>
    <t>00:28:09</t>
  </si>
  <si>
    <t>01:12:01</t>
  </si>
  <si>
    <t>Del_Sapna Sharma (1008629)</t>
  </si>
  <si>
    <t>00:38:46</t>
  </si>
  <si>
    <t>00:23:22</t>
  </si>
  <si>
    <t>01:32:37</t>
  </si>
  <si>
    <t>Del_Saroj Parita (1008630)</t>
  </si>
  <si>
    <t>00:42:28</t>
  </si>
  <si>
    <t>00:25:06</t>
  </si>
  <si>
    <t>00:31:53</t>
  </si>
  <si>
    <t>01:45:37</t>
  </si>
  <si>
    <t>Del_Shailaja Kamal (1008631)</t>
  </si>
  <si>
    <t>00:38:40</t>
  </si>
  <si>
    <t>01:08:46</t>
  </si>
  <si>
    <t>Del_Shailendra Barge (1008632)</t>
  </si>
  <si>
    <t>00:29:48</t>
  </si>
  <si>
    <t>02:31:25</t>
  </si>
  <si>
    <t>03:43:06</t>
  </si>
  <si>
    <t>Del_Shankar Attendant (1008633)</t>
  </si>
  <si>
    <t>00:39:24</t>
  </si>
  <si>
    <t>00:30:43</t>
  </si>
  <si>
    <t>01:23:39</t>
  </si>
  <si>
    <t>00:40:50</t>
  </si>
  <si>
    <t>03:15:05</t>
  </si>
  <si>
    <t>Del_Shashikant Tiwari (1008634)</t>
  </si>
  <si>
    <t>Del_Sheeba Joseph (1008635)</t>
  </si>
  <si>
    <t>00:35:25</t>
  </si>
  <si>
    <t>00:55:39</t>
  </si>
  <si>
    <t>Del_Sheena Joseph (1008636)</t>
  </si>
  <si>
    <t>00:41:10</t>
  </si>
  <si>
    <t>00:29:22</t>
  </si>
  <si>
    <t>01:41:30</t>
  </si>
  <si>
    <t>Del_Shephali Jain (1008637)</t>
  </si>
  <si>
    <t>00:39:39</t>
  </si>
  <si>
    <t>00:14:27</t>
  </si>
  <si>
    <t>02:28:42</t>
  </si>
  <si>
    <t>03:23:49</t>
  </si>
  <si>
    <t>Del_Shivji Prasad (1008638)</t>
  </si>
  <si>
    <t>00:31:02</t>
  </si>
  <si>
    <t>01:05:37</t>
  </si>
  <si>
    <t>02:17:48</t>
  </si>
  <si>
    <t>Del_Shubhanjali Joshi (1008639)</t>
  </si>
  <si>
    <t>00:29:45</t>
  </si>
  <si>
    <t>00:09:13</t>
  </si>
  <si>
    <t>01:19:32</t>
  </si>
  <si>
    <t>Del_Shyamal Malakar (1008640)</t>
  </si>
  <si>
    <t>00:29:21</t>
  </si>
  <si>
    <t>00:52:47</t>
  </si>
  <si>
    <t>02:31:52</t>
  </si>
  <si>
    <t>04:35:37</t>
  </si>
  <si>
    <t>Del_Sneh Khan (1008641)</t>
  </si>
  <si>
    <t>00:29:51</t>
  </si>
  <si>
    <t>01:09:51</t>
  </si>
  <si>
    <t>Del_Sonaram Munda (1008642)</t>
  </si>
  <si>
    <t>00:47:26</t>
  </si>
  <si>
    <t>01:57:15</t>
  </si>
  <si>
    <t>Del_Sudama Kumar (1008643)</t>
  </si>
  <si>
    <t>00:15:16</t>
  </si>
  <si>
    <t>03:40:36</t>
  </si>
  <si>
    <t>04:36:20</t>
  </si>
  <si>
    <t>Del_Sudhir Kumar (1008644)</t>
  </si>
  <si>
    <t>00:43:27</t>
  </si>
  <si>
    <t>00:28:35</t>
  </si>
  <si>
    <t>01:14:24</t>
  </si>
  <si>
    <t>Del_Sunil Kumar (1008645)</t>
  </si>
  <si>
    <t>00:40:09</t>
  </si>
  <si>
    <t>00:50:33</t>
  </si>
  <si>
    <t>00:02:33</t>
  </si>
  <si>
    <t>02:22:56</t>
  </si>
  <si>
    <t>03:56:57</t>
  </si>
  <si>
    <t>Del_Sunil Kumar (1008646)</t>
  </si>
  <si>
    <t>00:35:18</t>
  </si>
  <si>
    <t>01:12:29</t>
  </si>
  <si>
    <t>02:16:51</t>
  </si>
  <si>
    <t>Del_Sunita Chawla (1008647)</t>
  </si>
  <si>
    <t>00:40:03</t>
  </si>
  <si>
    <t>00:30:37</t>
  </si>
  <si>
    <t>00:55:51</t>
  </si>
  <si>
    <t>02:06:43</t>
  </si>
  <si>
    <t>Del_Sunita Madnani (1008648)</t>
  </si>
  <si>
    <t>00:40:15</t>
  </si>
  <si>
    <t>00:27:30</t>
  </si>
  <si>
    <t>01:08:15</t>
  </si>
  <si>
    <t>Del_Surendra Kumar (1008649)</t>
  </si>
  <si>
    <t>00:27:48</t>
  </si>
  <si>
    <t>03:18:17</t>
  </si>
  <si>
    <t>03:46:52</t>
  </si>
  <si>
    <t>Del_Surendranath Thakur (1008650)</t>
  </si>
  <si>
    <t>01:05:59</t>
  </si>
  <si>
    <t>02:17:05</t>
  </si>
  <si>
    <t>Del_Sushma Khandelwal (1008651)</t>
  </si>
  <si>
    <t>01:10:21</t>
  </si>
  <si>
    <t>Del_Swarnlata Borse (1008652)</t>
  </si>
  <si>
    <t>00:39:22</t>
  </si>
  <si>
    <t>00:28:37</t>
  </si>
  <si>
    <t>00:54:22</t>
  </si>
  <si>
    <t>02:30:10</t>
  </si>
  <si>
    <t>04:32:37</t>
  </si>
  <si>
    <t>Del_Syed Naved (1008653)</t>
  </si>
  <si>
    <t>00:34:44</t>
  </si>
  <si>
    <t>Del_Syed Saqib (1008654)</t>
  </si>
  <si>
    <t>00:37:49</t>
  </si>
  <si>
    <t>00:30:51</t>
  </si>
  <si>
    <t>03:54:15</t>
  </si>
  <si>
    <t>05:03:34</t>
  </si>
  <si>
    <t>Del_Syed Sohail (1008655)</t>
  </si>
  <si>
    <t>00:32:08</t>
  </si>
  <si>
    <t>Del_System Operator (1008656)</t>
  </si>
  <si>
    <t>00:14:57</t>
  </si>
  <si>
    <t>00:56:05</t>
  </si>
  <si>
    <t>Del_Tahira Qureshi (1008657)</t>
  </si>
  <si>
    <t>00:43:30</t>
  </si>
  <si>
    <t>00:22:35</t>
  </si>
  <si>
    <t>01:06:22</t>
  </si>
  <si>
    <t>01:47:33</t>
  </si>
  <si>
    <t>04:02:30</t>
  </si>
  <si>
    <t>Del_Tapas Chakraborty (1008658)</t>
  </si>
  <si>
    <t>00:34:07</t>
  </si>
  <si>
    <t>00:35:28</t>
  </si>
  <si>
    <t>01:12:11</t>
  </si>
  <si>
    <t>Del_Tariq Akhlaq (1008659)</t>
  </si>
  <si>
    <t>00:14:54</t>
  </si>
  <si>
    <t>Del_Tasneem Khan (1008660)</t>
  </si>
  <si>
    <t>00:40:06</t>
  </si>
  <si>
    <t>00:29:10</t>
  </si>
  <si>
    <t>01:06:50</t>
  </si>
  <si>
    <t>Total Working Hours</t>
  </si>
  <si>
    <t xml:space="preserve">Work Efficiency </t>
  </si>
  <si>
    <t>Attended Calls</t>
  </si>
  <si>
    <t>Efficiency in Percentage</t>
  </si>
  <si>
    <t>Active With Cust.</t>
  </si>
  <si>
    <t>Active Time</t>
  </si>
  <si>
    <t>Other</t>
  </si>
  <si>
    <t>Not Working %</t>
  </si>
  <si>
    <t>Call Keeping</t>
  </si>
  <si>
    <t>Break During Calls</t>
  </si>
  <si>
    <t>Non Break %</t>
  </si>
  <si>
    <t>% Other Work</t>
  </si>
  <si>
    <t>Long Time</t>
  </si>
  <si>
    <t>Short Time Holds</t>
  </si>
  <si>
    <t>Long Call Holds</t>
  </si>
  <si>
    <t>No Hold</t>
  </si>
  <si>
    <t>08:15:43</t>
  </si>
  <si>
    <t>04:57:59</t>
  </si>
  <si>
    <t>08:15:36</t>
  </si>
  <si>
    <t>04:58:34</t>
  </si>
  <si>
    <t>08:16:57</t>
  </si>
  <si>
    <t>04:49:35</t>
  </si>
  <si>
    <t>08:09:56</t>
  </si>
  <si>
    <t>04:17:32</t>
  </si>
  <si>
    <t>07:20:41</t>
  </si>
  <si>
    <t>03:19:44</t>
  </si>
  <si>
    <t>05:00:09</t>
  </si>
  <si>
    <t>03:41:19</t>
  </si>
  <si>
    <t>08:16:38</t>
  </si>
  <si>
    <t>04:12:46</t>
  </si>
  <si>
    <t>09:16:31</t>
  </si>
  <si>
    <t>05:52:08</t>
  </si>
  <si>
    <t>08:13:18</t>
  </si>
  <si>
    <t>04:52:29</t>
  </si>
  <si>
    <t>08:20:41</t>
  </si>
  <si>
    <t>04:58:07</t>
  </si>
  <si>
    <t>08:10:35</t>
  </si>
  <si>
    <t>04:55:28</t>
  </si>
  <si>
    <t>08:04:10</t>
  </si>
  <si>
    <t>03:47:42</t>
  </si>
  <si>
    <t>08:14:38</t>
  </si>
  <si>
    <t>04:43:40</t>
  </si>
  <si>
    <t>07:59:50</t>
  </si>
  <si>
    <t>04:40:27</t>
  </si>
  <si>
    <t>08:16:59</t>
  </si>
  <si>
    <t>04:57:35</t>
  </si>
  <si>
    <t>08:17:15</t>
  </si>
  <si>
    <t>04:10:25</t>
  </si>
  <si>
    <t>07:53:01</t>
  </si>
  <si>
    <t>04:44:12</t>
  </si>
  <si>
    <t>08:16:43</t>
  </si>
  <si>
    <t>08:21:16</t>
  </si>
  <si>
    <t>04:23:03</t>
  </si>
  <si>
    <t>08:17:52</t>
  </si>
  <si>
    <t>04:58:14</t>
  </si>
  <si>
    <t>08:13:41</t>
  </si>
  <si>
    <t>04:53:40</t>
  </si>
  <si>
    <t>08:17:34</t>
  </si>
  <si>
    <t>04:59:50</t>
  </si>
  <si>
    <t>07:41:44</t>
  </si>
  <si>
    <t>04:08:57</t>
  </si>
  <si>
    <t>08:10:04</t>
  </si>
  <si>
    <t>04:14:05</t>
  </si>
  <si>
    <t>08:14:20</t>
  </si>
  <si>
    <t>05:26:56</t>
  </si>
  <si>
    <t>07:35:57</t>
  </si>
  <si>
    <t>05:05:16</t>
  </si>
  <si>
    <t>04:56:45</t>
  </si>
  <si>
    <t>08:13:53</t>
  </si>
  <si>
    <t>05:06:20</t>
  </si>
  <si>
    <t>08:15:11</t>
  </si>
  <si>
    <t>04:11:43</t>
  </si>
  <si>
    <t>07:27:24</t>
  </si>
  <si>
    <t>04:35:28</t>
  </si>
  <si>
    <t>07:59:57</t>
  </si>
  <si>
    <t>05:14:16</t>
  </si>
  <si>
    <t>08:17:44</t>
  </si>
  <si>
    <t>05:05:03</t>
  </si>
  <si>
    <t>08:19:10</t>
  </si>
  <si>
    <t>04:59:15</t>
  </si>
  <si>
    <t>08:16:23</t>
  </si>
  <si>
    <t>05:02:08</t>
  </si>
  <si>
    <t>07:39:42</t>
  </si>
  <si>
    <t>04:32:56</t>
  </si>
  <si>
    <t>08:11:27</t>
  </si>
  <si>
    <t>04:07:41</t>
  </si>
  <si>
    <t>08:09:47</t>
  </si>
  <si>
    <t>04:51:30</t>
  </si>
  <si>
    <t>08:15:46</t>
  </si>
  <si>
    <t>04:56:12</t>
  </si>
  <si>
    <t>08:15:19</t>
  </si>
  <si>
    <t>04:56:56</t>
  </si>
  <si>
    <t>08:17:24</t>
  </si>
  <si>
    <t>05:25:18</t>
  </si>
  <si>
    <t>08:16:01</t>
  </si>
  <si>
    <t>04:58:27</t>
  </si>
  <si>
    <t>08:00:08</t>
  </si>
  <si>
    <t>03:54:19</t>
  </si>
  <si>
    <t>05:01:37</t>
  </si>
  <si>
    <t>03:21:30</t>
  </si>
  <si>
    <t>08:26:46</t>
  </si>
  <si>
    <t>05:18:49</t>
  </si>
  <si>
    <t>07:53:25</t>
  </si>
  <si>
    <t>05:26:19</t>
  </si>
  <si>
    <t>08:01:28</t>
  </si>
  <si>
    <t>04:13:15</t>
  </si>
  <si>
    <t>08:21:34</t>
  </si>
  <si>
    <t>05:08:41</t>
  </si>
  <si>
    <t>08:15:28</t>
  </si>
  <si>
    <t>04:45:06</t>
  </si>
  <si>
    <t>07:59:19</t>
  </si>
  <si>
    <t>04:42:13</t>
  </si>
  <si>
    <t>04:56:13</t>
  </si>
  <si>
    <t>03:10:50</t>
  </si>
  <si>
    <t>07:45:23</t>
  </si>
  <si>
    <t>04:39:06</t>
  </si>
  <si>
    <t>08:00:13</t>
  </si>
  <si>
    <t>04:46:25</t>
  </si>
  <si>
    <t>08:09:49</t>
  </si>
  <si>
    <t>04:51:12</t>
  </si>
  <si>
    <t>08:14:05</t>
  </si>
  <si>
    <t>05:04:01</t>
  </si>
  <si>
    <t>07:41:28</t>
  </si>
  <si>
    <t>04:26:11</t>
  </si>
  <si>
    <t>08:00:44</t>
  </si>
  <si>
    <t>04:28:58</t>
  </si>
  <si>
    <t>07:55:23</t>
  </si>
  <si>
    <t>04:29:51</t>
  </si>
  <si>
    <t>05:04:35</t>
  </si>
  <si>
    <t>08:05:29</t>
  </si>
  <si>
    <t>03:09:32</t>
  </si>
  <si>
    <t>08:14:51</t>
  </si>
  <si>
    <t>04:08:21</t>
  </si>
  <si>
    <t>05:15:35</t>
  </si>
  <si>
    <t>03:38:44</t>
  </si>
  <si>
    <t>08:12:10</t>
  </si>
  <si>
    <t>04:14:06</t>
  </si>
  <si>
    <t>08:00:32</t>
  </si>
  <si>
    <t>03:55:15</t>
  </si>
  <si>
    <t>07:55:35</t>
  </si>
  <si>
    <t>03:50:43</t>
  </si>
  <si>
    <t>05:01:07</t>
  </si>
  <si>
    <t>03:13:40</t>
  </si>
  <si>
    <t>08:21:39</t>
  </si>
  <si>
    <t>04:43:39</t>
  </si>
  <si>
    <t>08:19:29</t>
  </si>
  <si>
    <t>04:54:19</t>
  </si>
  <si>
    <t>08:21:13</t>
  </si>
  <si>
    <t>04:36:09</t>
  </si>
  <si>
    <t>08:02:20</t>
  </si>
  <si>
    <t>04:44:15</t>
  </si>
  <si>
    <t>08:16:46</t>
  </si>
  <si>
    <t>04:58:45</t>
  </si>
  <si>
    <t>08:00:37</t>
  </si>
  <si>
    <t>04:44:56</t>
  </si>
  <si>
    <t>07:55:44</t>
  </si>
  <si>
    <t>04:26:21</t>
  </si>
  <si>
    <t>08:09:43</t>
  </si>
  <si>
    <t>04:02:05</t>
  </si>
  <si>
    <t>08:01:11</t>
  </si>
  <si>
    <t>04:02:50</t>
  </si>
  <si>
    <t>08:15:54</t>
  </si>
  <si>
    <t>04:26:54</t>
  </si>
  <si>
    <t>08:32:22</t>
  </si>
  <si>
    <t>05:11:39</t>
  </si>
  <si>
    <t>08:21:49</t>
  </si>
  <si>
    <t>03:03:51</t>
  </si>
  <si>
    <t>08:25:20</t>
  </si>
  <si>
    <t>02:54:03</t>
  </si>
  <si>
    <t>08:08:02</t>
  </si>
  <si>
    <t>05:10:46</t>
  </si>
  <si>
    <t>08:19:20</t>
  </si>
  <si>
    <t>04:08:46</t>
  </si>
  <si>
    <t>08:25:36</t>
  </si>
  <si>
    <t>03:40:53</t>
  </si>
  <si>
    <t>08:16:26</t>
  </si>
  <si>
    <t>05:16:03</t>
  </si>
  <si>
    <t>07:36:07</t>
  </si>
  <si>
    <t>05:07:23</t>
  </si>
  <si>
    <t>08:09:57</t>
  </si>
  <si>
    <t>05:03:51</t>
  </si>
  <si>
    <t>08:04:00</t>
  </si>
  <si>
    <t>05:05:29</t>
  </si>
  <si>
    <t>07:59:43</t>
  </si>
  <si>
    <t>04:28:51</t>
  </si>
  <si>
    <t>08:25:57</t>
  </si>
  <si>
    <t>04:58:12</t>
  </si>
  <si>
    <t>08:14:44</t>
  </si>
  <si>
    <t>03:55:22</t>
  </si>
  <si>
    <t>08:22:34</t>
  </si>
  <si>
    <t>00:48:33</t>
  </si>
  <si>
    <t>08:00:39</t>
  </si>
  <si>
    <t>05:11:50</t>
  </si>
  <si>
    <t>08:17:39</t>
  </si>
  <si>
    <t>04:49:40</t>
  </si>
  <si>
    <t>05:04:31</t>
  </si>
  <si>
    <t>03:24:21</t>
  </si>
  <si>
    <t>08:10:41</t>
  </si>
  <si>
    <t>04:44:35</t>
  </si>
  <si>
    <t>08:15:13</t>
  </si>
  <si>
    <t>0</t>
  </si>
  <si>
    <t>08:02:52</t>
  </si>
  <si>
    <t>01:13:06</t>
  </si>
  <si>
    <t>08:19:26</t>
  </si>
  <si>
    <t>04:53:04</t>
  </si>
  <si>
    <t>08:02:10</t>
  </si>
  <si>
    <t>01:36:08</t>
  </si>
  <si>
    <t>08:20:42</t>
  </si>
  <si>
    <t>04:16:57</t>
  </si>
  <si>
    <t>04:47:03</t>
  </si>
  <si>
    <t>08:01:53</t>
  </si>
  <si>
    <t>04:38:57</t>
  </si>
  <si>
    <t>05:53:52</t>
  </si>
  <si>
    <t>02:53:07</t>
  </si>
  <si>
    <t>08:16:02</t>
  </si>
  <si>
    <t>04:22:52</t>
  </si>
  <si>
    <t>08:15:42</t>
  </si>
  <si>
    <t>04:25:29</t>
  </si>
  <si>
    <t>08:16:30</t>
  </si>
  <si>
    <t>02:30:29</t>
  </si>
  <si>
    <t>08:01:48</t>
  </si>
  <si>
    <t>04:52:13</t>
  </si>
  <si>
    <t>08:17:09</t>
  </si>
  <si>
    <t>04:08:30</t>
  </si>
  <si>
    <t>08:31:02</t>
  </si>
  <si>
    <t>05:35:38</t>
  </si>
  <si>
    <t>08:00:11</t>
  </si>
  <si>
    <t>04:52:11</t>
  </si>
  <si>
    <t>08:15:48</t>
  </si>
  <si>
    <t>05:00:37</t>
  </si>
  <si>
    <t>08:15:56</t>
  </si>
  <si>
    <t>04:37:42</t>
  </si>
  <si>
    <t>08:15:52</t>
  </si>
  <si>
    <t>05:00:14</t>
  </si>
  <si>
    <t>08:02:17</t>
  </si>
  <si>
    <t>05:06:07</t>
  </si>
  <si>
    <t>08:15:58</t>
  </si>
  <si>
    <t>05:19:44</t>
  </si>
  <si>
    <t>05:03:10</t>
  </si>
  <si>
    <t>08:17:04</t>
  </si>
  <si>
    <t>05:09:57</t>
  </si>
  <si>
    <t>08:02:59</t>
  </si>
  <si>
    <t>04:44:19</t>
  </si>
  <si>
    <t>08:04:14</t>
  </si>
  <si>
    <t>04:33:29</t>
  </si>
  <si>
    <t>08:01:59</t>
  </si>
  <si>
    <t>04:31:42</t>
  </si>
  <si>
    <t>08:09:14</t>
  </si>
  <si>
    <t>04:51:46</t>
  </si>
  <si>
    <t>08:17:38</t>
  </si>
  <si>
    <t>03:26:09</t>
  </si>
  <si>
    <t>07:57:56</t>
  </si>
  <si>
    <t>03:27:15</t>
  </si>
  <si>
    <t>08:14:55</t>
  </si>
  <si>
    <t>05:19:10</t>
  </si>
  <si>
    <t>08:30:57</t>
  </si>
  <si>
    <t>03:41:07</t>
  </si>
  <si>
    <t>08:49:34</t>
  </si>
  <si>
    <t>05:10:26</t>
  </si>
  <si>
    <t>08:25:43</t>
  </si>
  <si>
    <t>03:41:29</t>
  </si>
  <si>
    <t>08:11:40</t>
  </si>
  <si>
    <t>04:12:39</t>
  </si>
  <si>
    <t>08:17:17</t>
  </si>
  <si>
    <t>04:54:52</t>
  </si>
  <si>
    <t>02:53:35</t>
  </si>
  <si>
    <t>08:09:15</t>
  </si>
  <si>
    <t>05:06:25</t>
  </si>
  <si>
    <t>08:00:41</t>
  </si>
  <si>
    <t>04:11:10</t>
  </si>
  <si>
    <t>02:38:49</t>
  </si>
  <si>
    <t>08:00:18</t>
  </si>
  <si>
    <t>04:35:36</t>
  </si>
  <si>
    <t>08:03:26</t>
  </si>
  <si>
    <t>02:58:37</t>
  </si>
  <si>
    <t>08:05:06</t>
  </si>
  <si>
    <t>04:05:03</t>
  </si>
  <si>
    <t>08:05:25</t>
  </si>
  <si>
    <t>04:31:57</t>
  </si>
  <si>
    <t>08:14:02</t>
  </si>
  <si>
    <t>05:19:12</t>
  </si>
  <si>
    <t>07:29:10</t>
  </si>
  <si>
    <t>02:54:25</t>
  </si>
  <si>
    <t>08:33:53</t>
  </si>
  <si>
    <t>04:36:50</t>
  </si>
  <si>
    <t>08:15:15</t>
  </si>
  <si>
    <t>04:50:07</t>
  </si>
  <si>
    <t>08:19:05</t>
  </si>
  <si>
    <t>02:59:39</t>
  </si>
  <si>
    <t>08:13:39</t>
  </si>
  <si>
    <t>05:24:05</t>
  </si>
  <si>
    <t>08:24:48</t>
  </si>
  <si>
    <t>02:52:08</t>
  </si>
  <si>
    <t>08:17:53</t>
  </si>
  <si>
    <t>04:51:52</t>
  </si>
  <si>
    <t>08:30:54</t>
  </si>
  <si>
    <t>05:15:36</t>
  </si>
  <si>
    <t>08:46:13</t>
  </si>
  <si>
    <t>03:36:51</t>
  </si>
  <si>
    <t>08:14:56</t>
  </si>
  <si>
    <t>05:15:14</t>
  </si>
  <si>
    <t>04:59:55</t>
  </si>
  <si>
    <t>03:08:41</t>
  </si>
  <si>
    <t>08:33:55</t>
  </si>
  <si>
    <t>04:38:49</t>
  </si>
  <si>
    <t>Transferred calls</t>
  </si>
  <si>
    <t>Call Conferenced</t>
  </si>
  <si>
    <t>Call Redirected</t>
  </si>
  <si>
    <t>Hold Calls</t>
  </si>
  <si>
    <t>% of Calls onHold</t>
  </si>
  <si>
    <t>Average Duration of Calls</t>
  </si>
  <si>
    <t>Avg. In Focus Hold Calls</t>
  </si>
  <si>
    <t>Calls Unattend Time'</t>
  </si>
  <si>
    <t>00:04:13</t>
  </si>
  <si>
    <t>00:00:01</t>
  </si>
  <si>
    <t>00:00:09</t>
  </si>
  <si>
    <t>00:04:10</t>
  </si>
  <si>
    <t>00:00:07</t>
  </si>
  <si>
    <t>00:04:25</t>
  </si>
  <si>
    <t>00:00:59</t>
  </si>
  <si>
    <t>00:00:11</t>
  </si>
  <si>
    <t>00:04:26</t>
  </si>
  <si>
    <t>00:00:14</t>
  </si>
  <si>
    <t>00:03:26</t>
  </si>
  <si>
    <t>00:00:03</t>
  </si>
  <si>
    <t>00:00:10</t>
  </si>
  <si>
    <t>00:03:54</t>
  </si>
  <si>
    <t>00:00:51</t>
  </si>
  <si>
    <t>00:00:27</t>
  </si>
  <si>
    <t>00:04:07</t>
  </si>
  <si>
    <t>00:00:04</t>
  </si>
  <si>
    <t>00:00:26</t>
  </si>
  <si>
    <t>00:00:16</t>
  </si>
  <si>
    <t>00:04:18</t>
  </si>
  <si>
    <t>00:04:22</t>
  </si>
  <si>
    <t>00:04:04</t>
  </si>
  <si>
    <t>00:00:39</t>
  </si>
  <si>
    <t>00:03:45</t>
  </si>
  <si>
    <t>00:00:23</t>
  </si>
  <si>
    <t>00:00:25</t>
  </si>
  <si>
    <t>00:00:28</t>
  </si>
  <si>
    <t>00:00:20</t>
  </si>
  <si>
    <t>00:01:00</t>
  </si>
  <si>
    <t>00:04:06</t>
  </si>
  <si>
    <t>00:00:06</t>
  </si>
  <si>
    <t>00:04:27</t>
  </si>
  <si>
    <t>00:07:56</t>
  </si>
  <si>
    <t>00:01:32</t>
  </si>
  <si>
    <t>00:04:08</t>
  </si>
  <si>
    <t>00:00:05</t>
  </si>
  <si>
    <t>00:04:35</t>
  </si>
  <si>
    <t>00:04:34</t>
  </si>
  <si>
    <t>00:03:50</t>
  </si>
  <si>
    <t>00:00:41</t>
  </si>
  <si>
    <t>00:00:34</t>
  </si>
  <si>
    <t>00:04:05</t>
  </si>
  <si>
    <t>00:03:57</t>
  </si>
  <si>
    <t>00:01:29</t>
  </si>
  <si>
    <t>00:00:19</t>
  </si>
  <si>
    <t>00:04:47</t>
  </si>
  <si>
    <t>00:00:08</t>
  </si>
  <si>
    <t>00:00:17</t>
  </si>
  <si>
    <t>00:00:29</t>
  </si>
  <si>
    <t>00:03:47</t>
  </si>
  <si>
    <t>00:00:18</t>
  </si>
  <si>
    <t>00:03:07</t>
  </si>
  <si>
    <t>00:01:21</t>
  </si>
  <si>
    <t>00:03:28</t>
  </si>
  <si>
    <t>00:04:29</t>
  </si>
  <si>
    <t>00:00:50</t>
  </si>
  <si>
    <t>00:04:15</t>
  </si>
  <si>
    <t>00:04:17</t>
  </si>
  <si>
    <t>00:03:33</t>
  </si>
  <si>
    <t>00:03:38</t>
  </si>
  <si>
    <t>00:03:53</t>
  </si>
  <si>
    <t>00:01:01</t>
  </si>
  <si>
    <t>00:04:14</t>
  </si>
  <si>
    <t>00:00:12</t>
  </si>
  <si>
    <t>00:05:37</t>
  </si>
  <si>
    <t>00:00:21</t>
  </si>
  <si>
    <t>00:04:11</t>
  </si>
  <si>
    <t>00:03:49</t>
  </si>
  <si>
    <t>00:00:13</t>
  </si>
  <si>
    <t>00:00:40</t>
  </si>
  <si>
    <t>00:03:55</t>
  </si>
  <si>
    <t>00:03:48</t>
  </si>
  <si>
    <t>00:03:44</t>
  </si>
  <si>
    <t>00:03:32</t>
  </si>
  <si>
    <t>00:03:27</t>
  </si>
  <si>
    <t>00:03:31</t>
  </si>
  <si>
    <t>00:04:03</t>
  </si>
  <si>
    <t>00:03:58</t>
  </si>
  <si>
    <t>00:01:03</t>
  </si>
  <si>
    <t>00:04:20</t>
  </si>
  <si>
    <t>00:04:00</t>
  </si>
  <si>
    <t>00:00:15</t>
  </si>
  <si>
    <t>00:03:46</t>
  </si>
  <si>
    <t>00:04:31</t>
  </si>
  <si>
    <t>00:00:32</t>
  </si>
  <si>
    <t>00:05:00</t>
  </si>
  <si>
    <t>00:02:17</t>
  </si>
  <si>
    <t>00:00:35</t>
  </si>
  <si>
    <t>00:01:08</t>
  </si>
  <si>
    <t>00:03:42</t>
  </si>
  <si>
    <t>00:00:49</t>
  </si>
  <si>
    <t>Emp Name</t>
  </si>
  <si>
    <t>Total Number of woking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</si>
</sst>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5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sz val="10"/>
      <color theme="1"/>
      <name val="Calibri"/>
      <family val="2"/>
      <scheme val="minor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608BB4"/>
      </left>
      <right style="thin">
        <color rgb="FF608BB4"/>
      </right>
      <top style="thin">
        <color rgb="FF608BB4"/>
      </top>
      <bottom style="thin">
        <color rgb="FF608BB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49" fontId="3" fillId="0" borderId="2" xfId="0" applyNumberFormat="1" applyFont="1" applyBorder="1" applyAlignment="1">
      <alignment horizontal="right" vertical="top" wrapText="1"/>
    </xf>
    <xf numFmtId="3" fontId="3" fillId="0" borderId="2" xfId="0" applyNumberFormat="1" applyFont="1" applyBorder="1" applyAlignment="1">
      <alignment horizontal="right" vertical="top" wrapText="1"/>
    </xf>
    <xf numFmtId="164" fontId="3" fillId="0" borderId="2" xfId="0" applyNumberFormat="1" applyFont="1" applyBorder="1" applyAlignment="1">
      <alignment horizontal="right" vertical="top" wrapText="1"/>
    </xf>
    <xf numFmtId="165" fontId="0" fillId="0" borderId="0" xfId="0" applyNumberFormat="1"/>
    <xf numFmtId="9" fontId="0" fillId="0" borderId="0" xfId="0" applyNumberFormat="1"/>
    <xf numFmtId="49" fontId="1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Call%20Center%20Data%20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eak"/>
      <sheetName val="Efficiency"/>
      <sheetName val="OverAll Performance"/>
      <sheetName val="Summary"/>
      <sheetName val="DASHBOARD"/>
    </sheetNames>
    <sheetDataSet>
      <sheetData sheetId="0" refreshError="1">
        <row r="1">
          <cell r="A1" t="str">
            <v>Employee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C6017-7E6A-4AC0-952C-9CA790474B41}">
  <dimension ref="A1:Q150"/>
  <sheetViews>
    <sheetView tabSelected="1" workbookViewId="0">
      <selection sqref="A1:Q1"/>
    </sheetView>
  </sheetViews>
  <sheetFormatPr defaultRowHeight="14.4" x14ac:dyDescent="0.3"/>
  <cols>
    <col min="1" max="1" width="31.44140625" bestFit="1" customWidth="1"/>
    <col min="2" max="2" width="20.77734375" bestFit="1" customWidth="1"/>
    <col min="3" max="3" width="15.88671875" bestFit="1" customWidth="1"/>
    <col min="4" max="4" width="14.88671875" bestFit="1" customWidth="1"/>
    <col min="5" max="5" width="24.109375" bestFit="1" customWidth="1"/>
    <col min="6" max="6" width="17.44140625" bestFit="1" customWidth="1"/>
    <col min="7" max="7" width="12" bestFit="1" customWidth="1"/>
    <col min="8" max="8" width="6.44140625" bestFit="1" customWidth="1"/>
    <col min="9" max="9" width="15.88671875" bestFit="1" customWidth="1"/>
    <col min="10" max="10" width="12.77734375" bestFit="1" customWidth="1"/>
    <col min="11" max="11" width="18.6640625" bestFit="1" customWidth="1"/>
    <col min="12" max="12" width="13.77734375" bestFit="1" customWidth="1"/>
    <col min="13" max="13" width="14.77734375" bestFit="1" customWidth="1"/>
    <col min="14" max="14" width="10.88671875" bestFit="1" customWidth="1"/>
    <col min="15" max="15" width="17.5546875" bestFit="1" customWidth="1"/>
    <col min="16" max="16" width="15.88671875" bestFit="1" customWidth="1"/>
    <col min="17" max="17" width="8.6640625" bestFit="1" customWidth="1"/>
  </cols>
  <sheetData>
    <row r="1" spans="1:17" ht="18.600000000000001" customHeight="1" x14ac:dyDescent="0.3">
      <c r="A1" s="7" t="s">
        <v>0</v>
      </c>
      <c r="B1" s="7" t="s">
        <v>596</v>
      </c>
      <c r="C1" s="7" t="s">
        <v>597</v>
      </c>
      <c r="D1" s="7" t="s">
        <v>598</v>
      </c>
      <c r="E1" s="7" t="s">
        <v>599</v>
      </c>
      <c r="F1" s="7" t="s">
        <v>600</v>
      </c>
      <c r="G1" s="7" t="s">
        <v>601</v>
      </c>
      <c r="H1" s="7" t="s">
        <v>602</v>
      </c>
      <c r="I1" s="7" t="s">
        <v>603</v>
      </c>
      <c r="J1" s="7" t="s">
        <v>604</v>
      </c>
      <c r="K1" s="7" t="s">
        <v>605</v>
      </c>
      <c r="L1" s="7" t="s">
        <v>606</v>
      </c>
      <c r="M1" s="7" t="s">
        <v>607</v>
      </c>
      <c r="N1" s="7" t="s">
        <v>608</v>
      </c>
      <c r="O1" s="7" t="s">
        <v>609</v>
      </c>
      <c r="P1" s="7" t="s">
        <v>610</v>
      </c>
      <c r="Q1" s="7" t="s">
        <v>611</v>
      </c>
    </row>
    <row r="2" spans="1:17" x14ac:dyDescent="0.3">
      <c r="A2" s="1" t="s">
        <v>9</v>
      </c>
      <c r="B2" s="2" t="s">
        <v>612</v>
      </c>
      <c r="C2" s="2" t="s">
        <v>613</v>
      </c>
      <c r="D2" s="3">
        <v>98</v>
      </c>
      <c r="E2" s="4">
        <v>0.69541034616880604</v>
      </c>
      <c r="F2" s="4">
        <v>0.55697138822580095</v>
      </c>
      <c r="G2" s="4">
        <v>0.57848905624852898</v>
      </c>
      <c r="H2" s="4">
        <v>1.3448542514205001E-4</v>
      </c>
      <c r="I2" s="4">
        <v>0.25683354066503</v>
      </c>
      <c r="J2" s="4">
        <v>2.2492687355007899E-2</v>
      </c>
      <c r="K2" s="4">
        <v>0</v>
      </c>
      <c r="L2" s="4">
        <v>0.13858723060888301</v>
      </c>
      <c r="M2" s="4">
        <v>3.46299969740779E-3</v>
      </c>
      <c r="N2" s="3">
        <v>2</v>
      </c>
      <c r="O2" s="3">
        <v>3</v>
      </c>
      <c r="P2" s="3">
        <v>0</v>
      </c>
      <c r="Q2" s="3">
        <v>0</v>
      </c>
    </row>
    <row r="3" spans="1:17" x14ac:dyDescent="0.3">
      <c r="A3" s="1" t="s">
        <v>14</v>
      </c>
      <c r="B3" s="2" t="s">
        <v>614</v>
      </c>
      <c r="C3" s="2" t="s">
        <v>615</v>
      </c>
      <c r="D3" s="3">
        <v>23</v>
      </c>
      <c r="E3" s="4">
        <v>0.70127226463104297</v>
      </c>
      <c r="F3" s="4">
        <v>0.58027306967984904</v>
      </c>
      <c r="G3" s="4">
        <v>0.58625907990314796</v>
      </c>
      <c r="H3" s="4">
        <v>3.3629270917406502E-5</v>
      </c>
      <c r="I3" s="4">
        <v>0.25373284907183202</v>
      </c>
      <c r="J3" s="4">
        <v>1.6142050040355099E-2</v>
      </c>
      <c r="K3" s="4">
        <v>0</v>
      </c>
      <c r="L3" s="4">
        <v>0.14120930858219</v>
      </c>
      <c r="M3" s="4">
        <v>2.6230831315577101E-3</v>
      </c>
      <c r="N3" s="3">
        <v>2</v>
      </c>
      <c r="O3" s="3">
        <v>1</v>
      </c>
      <c r="P3" s="3">
        <v>0</v>
      </c>
      <c r="Q3" s="3">
        <v>0</v>
      </c>
    </row>
    <row r="4" spans="1:17" x14ac:dyDescent="0.3">
      <c r="A4" s="1" t="s">
        <v>18</v>
      </c>
      <c r="B4" s="2" t="s">
        <v>616</v>
      </c>
      <c r="C4" s="2" t="s">
        <v>617</v>
      </c>
      <c r="D4" s="3">
        <v>28</v>
      </c>
      <c r="E4" s="4">
        <v>0.67767853660439203</v>
      </c>
      <c r="F4" s="4">
        <v>0.51708756749505302</v>
      </c>
      <c r="G4" s="4">
        <v>0.54036288023610701</v>
      </c>
      <c r="H4" s="4">
        <v>1.9653217962907098E-2</v>
      </c>
      <c r="I4" s="4">
        <v>0.26454707046315901</v>
      </c>
      <c r="J4" s="4">
        <v>2.27051681926418E-2</v>
      </c>
      <c r="K4" s="4">
        <v>0</v>
      </c>
      <c r="L4" s="4">
        <v>0.14870711339168899</v>
      </c>
      <c r="M4" s="4">
        <v>4.0245497534963301E-3</v>
      </c>
      <c r="N4" s="3">
        <v>6</v>
      </c>
      <c r="O4" s="3">
        <v>3</v>
      </c>
      <c r="P4" s="3">
        <v>4</v>
      </c>
      <c r="Q4" s="3">
        <v>1</v>
      </c>
    </row>
    <row r="5" spans="1:17" x14ac:dyDescent="0.3">
      <c r="A5" s="1" t="s">
        <v>23</v>
      </c>
      <c r="B5" s="2" t="s">
        <v>618</v>
      </c>
      <c r="C5" s="2" t="s">
        <v>619</v>
      </c>
      <c r="D5" s="3">
        <v>29</v>
      </c>
      <c r="E5" s="4">
        <v>0.72067534163518499</v>
      </c>
      <c r="F5" s="4">
        <v>0.47720778337188702</v>
      </c>
      <c r="G5" s="4">
        <v>0.49802694244114798</v>
      </c>
      <c r="H5" s="4">
        <v>6.8036467546604999E-5</v>
      </c>
      <c r="I5" s="4">
        <v>0.18356238944073999</v>
      </c>
      <c r="J5" s="4">
        <v>2.7554769356374999E-2</v>
      </c>
      <c r="K5" s="4">
        <v>0</v>
      </c>
      <c r="L5" s="4">
        <v>0.28378010613688898</v>
      </c>
      <c r="M5" s="4">
        <v>7.0077561573003103E-3</v>
      </c>
      <c r="N5" s="3">
        <v>1</v>
      </c>
      <c r="O5" s="3">
        <v>2</v>
      </c>
      <c r="P5" s="3">
        <v>0</v>
      </c>
      <c r="Q5" s="3">
        <v>0</v>
      </c>
    </row>
    <row r="6" spans="1:17" x14ac:dyDescent="0.3">
      <c r="A6" s="1" t="s">
        <v>28</v>
      </c>
      <c r="B6" s="2" t="s">
        <v>620</v>
      </c>
      <c r="C6" s="2" t="s">
        <v>621</v>
      </c>
      <c r="D6" s="3">
        <v>93</v>
      </c>
      <c r="E6" s="4">
        <v>0.77990368345698302</v>
      </c>
      <c r="F6" s="4">
        <v>0.43288831738587802</v>
      </c>
      <c r="G6" s="4">
        <v>0.43496842025642002</v>
      </c>
      <c r="H6" s="4">
        <v>3.7820052191672E-4</v>
      </c>
      <c r="I6" s="4">
        <v>0.113649256835974</v>
      </c>
      <c r="J6" s="4">
        <v>1.7888884686660899E-2</v>
      </c>
      <c r="K6" s="4">
        <v>0</v>
      </c>
      <c r="L6" s="4">
        <v>0.419726939223176</v>
      </c>
      <c r="M6" s="4">
        <v>1.3388298475851899E-2</v>
      </c>
      <c r="N6" s="3">
        <v>0</v>
      </c>
      <c r="O6" s="3">
        <v>4</v>
      </c>
      <c r="P6" s="3">
        <v>0</v>
      </c>
      <c r="Q6" s="3">
        <v>0</v>
      </c>
    </row>
    <row r="7" spans="1:17" x14ac:dyDescent="0.3">
      <c r="A7" s="1" t="s">
        <v>33</v>
      </c>
      <c r="B7" s="2" t="s">
        <v>622</v>
      </c>
      <c r="C7" s="2" t="s">
        <v>623</v>
      </c>
      <c r="D7" s="3">
        <v>92</v>
      </c>
      <c r="E7" s="4">
        <v>0.77595979664582504</v>
      </c>
      <c r="F7" s="4">
        <v>0.65495030262646503</v>
      </c>
      <c r="G7" s="4">
        <v>0.65761563662613098</v>
      </c>
      <c r="H7" s="4">
        <v>8.5512799155977592E-3</v>
      </c>
      <c r="I7" s="4">
        <v>0.16269642956299599</v>
      </c>
      <c r="J7" s="4">
        <v>7.1186628907768307E-2</v>
      </c>
      <c r="K7" s="4">
        <v>0</v>
      </c>
      <c r="L7" s="4">
        <v>9.0343717030373694E-2</v>
      </c>
      <c r="M7" s="4">
        <v>9.6063079571325396E-3</v>
      </c>
      <c r="N7" s="3">
        <v>2</v>
      </c>
      <c r="O7" s="3">
        <v>8</v>
      </c>
      <c r="P7" s="3">
        <v>2</v>
      </c>
      <c r="Q7" s="3">
        <v>0</v>
      </c>
    </row>
    <row r="8" spans="1:17" x14ac:dyDescent="0.3">
      <c r="A8" s="1" t="s">
        <v>37</v>
      </c>
      <c r="B8" s="2" t="s">
        <v>624</v>
      </c>
      <c r="C8" s="2" t="s">
        <v>625</v>
      </c>
      <c r="D8" s="3">
        <v>26</v>
      </c>
      <c r="E8" s="4">
        <v>0.75430219834875201</v>
      </c>
      <c r="F8" s="4">
        <v>0.49476474931203401</v>
      </c>
      <c r="G8" s="4">
        <v>0.50073830458419999</v>
      </c>
      <c r="H8" s="4">
        <v>0</v>
      </c>
      <c r="I8" s="4">
        <v>0.150547016578294</v>
      </c>
      <c r="J8" s="4">
        <v>8.1213504262031E-3</v>
      </c>
      <c r="K8" s="4">
        <v>0</v>
      </c>
      <c r="L8" s="4">
        <v>0.32559232163232399</v>
      </c>
      <c r="M8" s="4">
        <v>1.5001006778978501E-2</v>
      </c>
      <c r="N8" s="3">
        <v>0</v>
      </c>
      <c r="O8" s="3">
        <v>0</v>
      </c>
      <c r="P8" s="3">
        <v>0</v>
      </c>
      <c r="Q8" s="3">
        <v>0</v>
      </c>
    </row>
    <row r="9" spans="1:17" x14ac:dyDescent="0.3">
      <c r="A9" s="1" t="s">
        <v>42</v>
      </c>
      <c r="B9" s="2" t="s">
        <v>626</v>
      </c>
      <c r="C9" s="2" t="s">
        <v>627</v>
      </c>
      <c r="D9" s="3">
        <v>90</v>
      </c>
      <c r="E9" s="4">
        <v>0.72351208821313595</v>
      </c>
      <c r="F9" s="4">
        <v>0.55128627474469205</v>
      </c>
      <c r="G9" s="4">
        <v>0.58183342816926698</v>
      </c>
      <c r="H9" s="4">
        <v>8.6849749932616602E-3</v>
      </c>
      <c r="I9" s="4">
        <v>0.22793567128867101</v>
      </c>
      <c r="J9" s="4">
        <v>4.2226947381030798E-2</v>
      </c>
      <c r="K9" s="4">
        <v>0</v>
      </c>
      <c r="L9" s="4">
        <v>0.131472552484202</v>
      </c>
      <c r="M9" s="4">
        <v>7.8464256835674307E-3</v>
      </c>
      <c r="N9" s="3">
        <v>0</v>
      </c>
      <c r="O9" s="3">
        <v>8</v>
      </c>
      <c r="P9" s="3">
        <v>3</v>
      </c>
      <c r="Q9" s="3">
        <v>1</v>
      </c>
    </row>
    <row r="10" spans="1:17" x14ac:dyDescent="0.3">
      <c r="A10" s="1" t="s">
        <v>46</v>
      </c>
      <c r="B10" s="2" t="s">
        <v>628</v>
      </c>
      <c r="C10" s="2" t="s">
        <v>629</v>
      </c>
      <c r="D10" s="3">
        <v>89</v>
      </c>
      <c r="E10" s="4">
        <v>0.68246869409660105</v>
      </c>
      <c r="F10" s="4">
        <v>0.55206432867085597</v>
      </c>
      <c r="G10" s="4">
        <v>0.57530914250962895</v>
      </c>
      <c r="H10" s="4">
        <v>7.0950739914859098E-4</v>
      </c>
      <c r="I10" s="4">
        <v>0.26559226974795602</v>
      </c>
      <c r="J10" s="4">
        <v>1.68930333130617E-2</v>
      </c>
      <c r="K10" s="4">
        <v>0</v>
      </c>
      <c r="L10" s="4">
        <v>0.135110480437867</v>
      </c>
      <c r="M10" s="4">
        <v>6.3855665923373203E-3</v>
      </c>
      <c r="N10" s="3">
        <v>4</v>
      </c>
      <c r="O10" s="3">
        <v>0</v>
      </c>
      <c r="P10" s="3">
        <v>0</v>
      </c>
      <c r="Q10" s="3">
        <v>0</v>
      </c>
    </row>
    <row r="11" spans="1:17" x14ac:dyDescent="0.3">
      <c r="A11" s="1" t="s">
        <v>50</v>
      </c>
      <c r="B11" s="2" t="s">
        <v>630</v>
      </c>
      <c r="C11" s="2" t="s">
        <v>631</v>
      </c>
      <c r="D11" s="3">
        <v>54</v>
      </c>
      <c r="E11" s="4">
        <v>0.69192681134192102</v>
      </c>
      <c r="F11" s="4">
        <v>0.56868945774108703</v>
      </c>
      <c r="G11" s="4">
        <v>0.58520022635731195</v>
      </c>
      <c r="H11" s="4">
        <v>1.6643919976032801E-4</v>
      </c>
      <c r="I11" s="4">
        <v>0.26120968010385798</v>
      </c>
      <c r="J11" s="4">
        <v>1.0052927665523801E-2</v>
      </c>
      <c r="K11" s="4">
        <v>0</v>
      </c>
      <c r="L11" s="4">
        <v>0.13970906427881899</v>
      </c>
      <c r="M11" s="4">
        <v>3.6616623947272101E-3</v>
      </c>
      <c r="N11" s="3">
        <v>2</v>
      </c>
      <c r="O11" s="3">
        <v>0</v>
      </c>
      <c r="P11" s="3">
        <v>0</v>
      </c>
      <c r="Q11" s="3">
        <v>0</v>
      </c>
    </row>
    <row r="12" spans="1:17" x14ac:dyDescent="0.3">
      <c r="A12" s="1" t="s">
        <v>54</v>
      </c>
      <c r="B12" s="2" t="s">
        <v>632</v>
      </c>
      <c r="C12" s="2" t="s">
        <v>633</v>
      </c>
      <c r="D12" s="3">
        <v>87</v>
      </c>
      <c r="E12" s="4">
        <v>0.70101625212542995</v>
      </c>
      <c r="F12" s="4">
        <v>0.56035332087650802</v>
      </c>
      <c r="G12" s="4">
        <v>0.56901647698318303</v>
      </c>
      <c r="H12" s="4">
        <v>1.06675726176321E-2</v>
      </c>
      <c r="I12" s="4">
        <v>0.24987260064549</v>
      </c>
      <c r="J12" s="4">
        <v>2.2592152199762201E-2</v>
      </c>
      <c r="K12" s="4">
        <v>0</v>
      </c>
      <c r="L12" s="4">
        <v>0.14115848479700999</v>
      </c>
      <c r="M12" s="4">
        <v>6.6927127569220302E-3</v>
      </c>
      <c r="N12" s="3">
        <v>2</v>
      </c>
      <c r="O12" s="3">
        <v>3</v>
      </c>
      <c r="P12" s="3">
        <v>3</v>
      </c>
      <c r="Q12" s="3">
        <v>0</v>
      </c>
    </row>
    <row r="13" spans="1:17" x14ac:dyDescent="0.3">
      <c r="A13" s="1" t="s">
        <v>58</v>
      </c>
      <c r="B13" s="2" t="s">
        <v>634</v>
      </c>
      <c r="C13" s="2" t="s">
        <v>635</v>
      </c>
      <c r="D13" s="3">
        <v>65</v>
      </c>
      <c r="E13" s="4">
        <v>0.71237876733757399</v>
      </c>
      <c r="F13" s="4">
        <v>0.41552495697073999</v>
      </c>
      <c r="G13" s="4">
        <v>0.42578313253012001</v>
      </c>
      <c r="H13" s="4">
        <v>0</v>
      </c>
      <c r="I13" s="4">
        <v>0.146161790017212</v>
      </c>
      <c r="J13" s="4">
        <v>4.4509466437177299E-2</v>
      </c>
      <c r="K13" s="4">
        <v>0</v>
      </c>
      <c r="L13" s="4">
        <v>0.37445783132530103</v>
      </c>
      <c r="M13" s="4">
        <v>9.08777969018933E-3</v>
      </c>
      <c r="N13" s="3">
        <v>0</v>
      </c>
      <c r="O13" s="3">
        <v>8</v>
      </c>
      <c r="P13" s="3">
        <v>0</v>
      </c>
      <c r="Q13" s="3">
        <v>0</v>
      </c>
    </row>
    <row r="14" spans="1:17" x14ac:dyDescent="0.3">
      <c r="A14" s="1" t="s">
        <v>63</v>
      </c>
      <c r="B14" s="2" t="s">
        <v>636</v>
      </c>
      <c r="C14" s="2" t="s">
        <v>637</v>
      </c>
      <c r="D14" s="3">
        <v>85</v>
      </c>
      <c r="E14" s="4">
        <v>0.76961338458060102</v>
      </c>
      <c r="F14" s="4">
        <v>0.50026955994339195</v>
      </c>
      <c r="G14" s="4">
        <v>0.51627468158231704</v>
      </c>
      <c r="H14" s="4">
        <v>1.3477997169620599E-4</v>
      </c>
      <c r="I14" s="4">
        <v>0.16628479008019401</v>
      </c>
      <c r="J14" s="4">
        <v>5.7079318013343198E-2</v>
      </c>
      <c r="K14" s="4">
        <v>0</v>
      </c>
      <c r="L14" s="4">
        <v>0.25611564121571501</v>
      </c>
      <c r="M14" s="4">
        <v>4.1107891367342803E-3</v>
      </c>
      <c r="N14" s="3">
        <v>1</v>
      </c>
      <c r="O14" s="3">
        <v>9</v>
      </c>
      <c r="P14" s="3">
        <v>0</v>
      </c>
      <c r="Q14" s="3">
        <v>0</v>
      </c>
    </row>
    <row r="15" spans="1:17" x14ac:dyDescent="0.3">
      <c r="A15" s="1" t="s">
        <v>68</v>
      </c>
      <c r="B15" s="2" t="s">
        <v>638</v>
      </c>
      <c r="C15" s="2" t="s">
        <v>639</v>
      </c>
      <c r="D15" s="3">
        <v>65</v>
      </c>
      <c r="E15" s="4">
        <v>0.68466452374171005</v>
      </c>
      <c r="F15" s="4">
        <v>0.51396318166029897</v>
      </c>
      <c r="G15" s="4">
        <v>0.53136505731156702</v>
      </c>
      <c r="H15" s="4">
        <v>8.7877735324765494E-3</v>
      </c>
      <c r="I15" s="4">
        <v>0.26231330323028801</v>
      </c>
      <c r="J15" s="4">
        <v>4.4320944772490399E-2</v>
      </c>
      <c r="K15" s="4">
        <v>0</v>
      </c>
      <c r="L15" s="4">
        <v>0.14706495310871801</v>
      </c>
      <c r="M15" s="4">
        <v>6.1479680444598804E-3</v>
      </c>
      <c r="N15" s="3">
        <v>1</v>
      </c>
      <c r="O15" s="3">
        <v>8</v>
      </c>
      <c r="P15" s="3">
        <v>3</v>
      </c>
      <c r="Q15" s="3">
        <v>1</v>
      </c>
    </row>
    <row r="16" spans="1:17" x14ac:dyDescent="0.3">
      <c r="A16" s="1" t="s">
        <v>72</v>
      </c>
      <c r="B16" s="2" t="s">
        <v>640</v>
      </c>
      <c r="C16" s="2" t="s">
        <v>641</v>
      </c>
      <c r="D16" s="3">
        <v>83</v>
      </c>
      <c r="E16" s="4">
        <v>0.69277926512241494</v>
      </c>
      <c r="F16" s="4">
        <v>0.510580502364264</v>
      </c>
      <c r="G16" s="4">
        <v>0.53895167510647601</v>
      </c>
      <c r="H16" s="4">
        <v>2.8069351755592099E-2</v>
      </c>
      <c r="I16" s="4">
        <v>0.236694724839867</v>
      </c>
      <c r="J16" s="4">
        <v>3.17582749253831E-2</v>
      </c>
      <c r="K16" s="4">
        <v>0</v>
      </c>
      <c r="L16" s="4">
        <v>0.15490123746604501</v>
      </c>
      <c r="M16" s="4">
        <v>9.6247359066367107E-3</v>
      </c>
      <c r="N16" s="3">
        <v>2</v>
      </c>
      <c r="O16" s="3">
        <v>4</v>
      </c>
      <c r="P16" s="3">
        <v>7</v>
      </c>
      <c r="Q16" s="3">
        <v>0</v>
      </c>
    </row>
    <row r="17" spans="1:17" x14ac:dyDescent="0.3">
      <c r="A17" s="1" t="s">
        <v>76</v>
      </c>
      <c r="B17" s="2" t="s">
        <v>642</v>
      </c>
      <c r="C17" s="2" t="s">
        <v>643</v>
      </c>
      <c r="D17" s="3">
        <v>82</v>
      </c>
      <c r="E17" s="4">
        <v>0.707991706719442</v>
      </c>
      <c r="F17" s="4">
        <v>0.48292274174627098</v>
      </c>
      <c r="G17" s="4">
        <v>0.48536953242835601</v>
      </c>
      <c r="H17" s="4">
        <v>2.0110608345902501E-4</v>
      </c>
      <c r="I17" s="4">
        <v>0.203251215015921</v>
      </c>
      <c r="J17" s="4">
        <v>1.8032512150159202E-2</v>
      </c>
      <c r="K17" s="4">
        <v>0</v>
      </c>
      <c r="L17" s="4">
        <v>0.29026311379252601</v>
      </c>
      <c r="M17" s="4">
        <v>2.88252052957935E-3</v>
      </c>
      <c r="N17" s="3">
        <v>2</v>
      </c>
      <c r="O17" s="3">
        <v>1</v>
      </c>
      <c r="P17" s="3">
        <v>0</v>
      </c>
      <c r="Q17" s="3">
        <v>0</v>
      </c>
    </row>
    <row r="18" spans="1:17" x14ac:dyDescent="0.3">
      <c r="A18" s="1" t="s">
        <v>81</v>
      </c>
      <c r="B18" s="2" t="s">
        <v>644</v>
      </c>
      <c r="C18" s="2" t="s">
        <v>645</v>
      </c>
      <c r="D18" s="3">
        <v>81</v>
      </c>
      <c r="E18" s="4">
        <v>0.67538022813688203</v>
      </c>
      <c r="F18" s="4">
        <v>0.57362319861879396</v>
      </c>
      <c r="G18" s="4">
        <v>0.586131566893344</v>
      </c>
      <c r="H18" s="4">
        <v>0</v>
      </c>
      <c r="I18" s="4">
        <v>0.27373947359148698</v>
      </c>
      <c r="J18" s="4">
        <v>1.4692928367569901E-2</v>
      </c>
      <c r="K18" s="4">
        <v>0</v>
      </c>
      <c r="L18" s="4">
        <v>0.11941087347168899</v>
      </c>
      <c r="M18" s="4">
        <v>6.0251576759099397E-3</v>
      </c>
      <c r="N18" s="3">
        <v>1</v>
      </c>
      <c r="O18" s="3">
        <v>1</v>
      </c>
      <c r="P18" s="3">
        <v>0</v>
      </c>
      <c r="Q18" s="3">
        <v>1</v>
      </c>
    </row>
    <row r="19" spans="1:17" x14ac:dyDescent="0.3">
      <c r="A19" s="1" t="s">
        <v>85</v>
      </c>
      <c r="B19" s="2" t="s">
        <v>646</v>
      </c>
      <c r="C19" s="2" t="s">
        <v>631</v>
      </c>
      <c r="D19" s="3">
        <v>80</v>
      </c>
      <c r="E19" s="4">
        <v>0.69849265854420495</v>
      </c>
      <c r="F19" s="4">
        <v>0.56430560681810604</v>
      </c>
      <c r="G19" s="4">
        <v>0.59161829346038997</v>
      </c>
      <c r="H19" s="4">
        <v>0</v>
      </c>
      <c r="I19" s="4">
        <v>0.25480656309767502</v>
      </c>
      <c r="J19" s="4">
        <v>8.5561856188974307E-3</v>
      </c>
      <c r="K19" s="4">
        <v>0</v>
      </c>
      <c r="L19" s="4">
        <v>0.14116028587726101</v>
      </c>
      <c r="M19" s="4">
        <v>3.85867194577727E-3</v>
      </c>
      <c r="N19" s="3">
        <v>2</v>
      </c>
      <c r="O19" s="3">
        <v>0</v>
      </c>
      <c r="P19" s="3">
        <v>0</v>
      </c>
      <c r="Q19" s="3">
        <v>0</v>
      </c>
    </row>
    <row r="20" spans="1:17" x14ac:dyDescent="0.3">
      <c r="A20" s="1" t="s">
        <v>88</v>
      </c>
      <c r="B20" s="2" t="s">
        <v>647</v>
      </c>
      <c r="C20" s="2" t="s">
        <v>648</v>
      </c>
      <c r="D20" s="3">
        <v>79</v>
      </c>
      <c r="E20" s="4">
        <v>0.76545904263058295</v>
      </c>
      <c r="F20" s="4">
        <v>0.46974331693044302</v>
      </c>
      <c r="G20" s="4">
        <v>0.47862082723766403</v>
      </c>
      <c r="H20" s="4">
        <v>2.1379172762335402E-2</v>
      </c>
      <c r="I20" s="4">
        <v>0.14938821651815401</v>
      </c>
      <c r="J20" s="4">
        <v>2.4770581194307799E-2</v>
      </c>
      <c r="K20" s="4">
        <v>0</v>
      </c>
      <c r="L20" s="4">
        <v>0.31952387285543299</v>
      </c>
      <c r="M20" s="4">
        <v>6.3173294321053298E-3</v>
      </c>
      <c r="N20" s="3">
        <v>6</v>
      </c>
      <c r="O20" s="3">
        <v>5</v>
      </c>
      <c r="P20" s="3">
        <v>3</v>
      </c>
      <c r="Q20" s="3">
        <v>0</v>
      </c>
    </row>
    <row r="21" spans="1:17" x14ac:dyDescent="0.3">
      <c r="A21" s="1" t="s">
        <v>94</v>
      </c>
      <c r="B21" s="2" t="s">
        <v>649</v>
      </c>
      <c r="C21" s="2" t="s">
        <v>650</v>
      </c>
      <c r="D21" s="3">
        <v>78</v>
      </c>
      <c r="E21" s="4">
        <v>0.69862960215515602</v>
      </c>
      <c r="F21" s="4">
        <v>0.57495313336904097</v>
      </c>
      <c r="G21" s="4">
        <v>0.58205008034279604</v>
      </c>
      <c r="H21" s="4">
        <v>3.84975897161221E-3</v>
      </c>
      <c r="I21" s="4">
        <v>0.24769014461703301</v>
      </c>
      <c r="J21" s="4">
        <v>1.3122656668452099E-2</v>
      </c>
      <c r="K21" s="4">
        <v>0</v>
      </c>
      <c r="L21" s="4">
        <v>0.14963845741831799</v>
      </c>
      <c r="M21" s="4">
        <v>3.64890198178897E-3</v>
      </c>
      <c r="N21" s="3">
        <v>4</v>
      </c>
      <c r="O21" s="3">
        <v>1</v>
      </c>
      <c r="P21" s="3">
        <v>1</v>
      </c>
      <c r="Q21" s="3">
        <v>0</v>
      </c>
    </row>
    <row r="22" spans="1:17" x14ac:dyDescent="0.3">
      <c r="A22" s="1" t="s">
        <v>99</v>
      </c>
      <c r="B22" s="2" t="s">
        <v>651</v>
      </c>
      <c r="C22" s="2" t="s">
        <v>652</v>
      </c>
      <c r="D22" s="3">
        <v>77</v>
      </c>
      <c r="E22" s="4">
        <v>0.68750243864372396</v>
      </c>
      <c r="F22" s="4">
        <v>0.57945376590932096</v>
      </c>
      <c r="G22" s="4">
        <v>0.58620573241956697</v>
      </c>
      <c r="H22" s="4">
        <v>1.01279497653692E-4</v>
      </c>
      <c r="I22" s="4">
        <v>0.255865770905776</v>
      </c>
      <c r="J22" s="4">
        <v>8.5412376354613295E-3</v>
      </c>
      <c r="K22" s="4">
        <v>0</v>
      </c>
      <c r="L22" s="4">
        <v>0.13568076702339499</v>
      </c>
      <c r="M22" s="4">
        <v>1.36052125181459E-2</v>
      </c>
      <c r="N22" s="3">
        <v>2</v>
      </c>
      <c r="O22" s="3">
        <v>0</v>
      </c>
      <c r="P22" s="3">
        <v>0</v>
      </c>
      <c r="Q22" s="3">
        <v>0</v>
      </c>
    </row>
    <row r="23" spans="1:17" x14ac:dyDescent="0.3">
      <c r="A23" s="1" t="s">
        <v>103</v>
      </c>
      <c r="B23" s="2" t="s">
        <v>653</v>
      </c>
      <c r="C23" s="2" t="s">
        <v>654</v>
      </c>
      <c r="D23" s="3">
        <v>76</v>
      </c>
      <c r="E23" s="4">
        <v>0.69910231997823802</v>
      </c>
      <c r="F23" s="4">
        <v>0.588296375695049</v>
      </c>
      <c r="G23" s="4">
        <v>0.58993769679105001</v>
      </c>
      <c r="H23" s="4">
        <v>1.0048904669391E-4</v>
      </c>
      <c r="I23" s="4">
        <v>0.25467274067126699</v>
      </c>
      <c r="J23" s="4">
        <v>1.25611308367388E-2</v>
      </c>
      <c r="K23" s="4">
        <v>0</v>
      </c>
      <c r="L23" s="4">
        <v>0.140249212835801</v>
      </c>
      <c r="M23" s="4">
        <v>2.47872981844979E-3</v>
      </c>
      <c r="N23" s="3">
        <v>3</v>
      </c>
      <c r="O23" s="3">
        <v>1</v>
      </c>
      <c r="P23" s="3">
        <v>0</v>
      </c>
      <c r="Q23" s="3">
        <v>0</v>
      </c>
    </row>
    <row r="24" spans="1:17" x14ac:dyDescent="0.3">
      <c r="A24" s="1" t="s">
        <v>107</v>
      </c>
      <c r="B24" s="2" t="s">
        <v>655</v>
      </c>
      <c r="C24" s="2" t="s">
        <v>656</v>
      </c>
      <c r="D24" s="3">
        <v>75</v>
      </c>
      <c r="E24" s="4">
        <v>0.74890950112810195</v>
      </c>
      <c r="F24" s="4">
        <v>0.46267686976609901</v>
      </c>
      <c r="G24" s="4">
        <v>0.46527577245163099</v>
      </c>
      <c r="H24" s="4">
        <v>4.4397920877851599E-3</v>
      </c>
      <c r="I24" s="4">
        <v>0.17622004042737499</v>
      </c>
      <c r="J24" s="4">
        <v>6.9448455096736902E-2</v>
      </c>
      <c r="K24" s="4">
        <v>0</v>
      </c>
      <c r="L24" s="4">
        <v>0.28219751660409997</v>
      </c>
      <c r="M24" s="4">
        <v>2.41842333237078E-3</v>
      </c>
      <c r="N24" s="3">
        <v>1</v>
      </c>
      <c r="O24" s="3">
        <v>7</v>
      </c>
      <c r="P24" s="3">
        <v>1</v>
      </c>
      <c r="Q24" s="3">
        <v>0</v>
      </c>
    </row>
    <row r="25" spans="1:17" x14ac:dyDescent="0.3">
      <c r="A25" s="1" t="s">
        <v>112</v>
      </c>
      <c r="B25" s="2" t="s">
        <v>657</v>
      </c>
      <c r="C25" s="2" t="s">
        <v>658</v>
      </c>
      <c r="D25" s="3">
        <v>74</v>
      </c>
      <c r="E25" s="4">
        <v>0.70775301764159704</v>
      </c>
      <c r="F25" s="4">
        <v>0.478030199972793</v>
      </c>
      <c r="G25" s="4">
        <v>0.49663311114134101</v>
      </c>
      <c r="H25" s="4">
        <v>1.1563052645898501E-3</v>
      </c>
      <c r="I25" s="4">
        <v>0.21000544143653899</v>
      </c>
      <c r="J25" s="4">
        <v>2.0677458849136202E-2</v>
      </c>
      <c r="K25" s="4">
        <v>0</v>
      </c>
      <c r="L25" s="4">
        <v>0.26788872262277202</v>
      </c>
      <c r="M25" s="4">
        <v>3.6389606856210002E-3</v>
      </c>
      <c r="N25" s="3">
        <v>1</v>
      </c>
      <c r="O25" s="3">
        <v>2</v>
      </c>
      <c r="P25" s="3">
        <v>0</v>
      </c>
      <c r="Q25" s="3">
        <v>1</v>
      </c>
    </row>
    <row r="26" spans="1:17" x14ac:dyDescent="0.3">
      <c r="A26" s="1" t="s">
        <v>117</v>
      </c>
      <c r="B26" s="2" t="s">
        <v>659</v>
      </c>
      <c r="C26" s="2" t="s">
        <v>660</v>
      </c>
      <c r="D26" s="3">
        <v>73</v>
      </c>
      <c r="E26" s="4">
        <v>0.76297160637884098</v>
      </c>
      <c r="F26" s="4">
        <v>0.59983142279163904</v>
      </c>
      <c r="G26" s="4">
        <v>0.60182063385030304</v>
      </c>
      <c r="H26" s="4">
        <v>1.49359406608227E-2</v>
      </c>
      <c r="I26" s="4">
        <v>0.17107215104517901</v>
      </c>
      <c r="J26" s="4">
        <v>4.46055293324343E-2</v>
      </c>
      <c r="K26" s="4">
        <v>0</v>
      </c>
      <c r="L26" s="4">
        <v>0.147471341874578</v>
      </c>
      <c r="M26" s="4">
        <v>2.00944032366824E-2</v>
      </c>
      <c r="N26" s="3">
        <v>1</v>
      </c>
      <c r="O26" s="3">
        <v>4</v>
      </c>
      <c r="P26" s="3">
        <v>1</v>
      </c>
      <c r="Q26" s="3">
        <v>1</v>
      </c>
    </row>
    <row r="27" spans="1:17" x14ac:dyDescent="0.3">
      <c r="A27" s="1" t="s">
        <v>121</v>
      </c>
      <c r="B27" s="2" t="s">
        <v>661</v>
      </c>
      <c r="C27" s="2" t="s">
        <v>662</v>
      </c>
      <c r="D27" s="3">
        <v>72</v>
      </c>
      <c r="E27" s="4">
        <v>0.71468706102700197</v>
      </c>
      <c r="F27" s="4">
        <v>0.65029060203969702</v>
      </c>
      <c r="G27" s="4">
        <v>0.65098512263771602</v>
      </c>
      <c r="H27" s="4">
        <v>0</v>
      </c>
      <c r="I27" s="4">
        <v>0.25788646415908201</v>
      </c>
      <c r="J27" s="4">
        <v>1.8532733852396101E-2</v>
      </c>
      <c r="K27" s="4">
        <v>0</v>
      </c>
      <c r="L27" s="4">
        <v>6.6893299703914902E-2</v>
      </c>
      <c r="M27" s="4">
        <v>5.7023796468911097E-3</v>
      </c>
      <c r="N27" s="3">
        <v>1</v>
      </c>
      <c r="O27" s="3">
        <v>3</v>
      </c>
      <c r="P27" s="3">
        <v>0</v>
      </c>
      <c r="Q27" s="3">
        <v>0</v>
      </c>
    </row>
    <row r="28" spans="1:17" x14ac:dyDescent="0.3">
      <c r="A28" s="1" t="s">
        <v>124</v>
      </c>
      <c r="B28" s="2" t="s">
        <v>640</v>
      </c>
      <c r="C28" s="2" t="s">
        <v>663</v>
      </c>
      <c r="D28" s="3">
        <v>71</v>
      </c>
      <c r="E28" s="4">
        <v>0.69474793194942996</v>
      </c>
      <c r="F28" s="4">
        <v>0.55001844461584903</v>
      </c>
      <c r="G28" s="4">
        <v>0.57443240886683</v>
      </c>
      <c r="H28" s="4">
        <v>1.23075891210302E-2</v>
      </c>
      <c r="I28" s="4">
        <v>0.25279184412622802</v>
      </c>
      <c r="J28" s="4">
        <v>1.0362520540594901E-2</v>
      </c>
      <c r="K28" s="4">
        <v>0</v>
      </c>
      <c r="L28" s="4">
        <v>0.14420336027365099</v>
      </c>
      <c r="M28" s="4">
        <v>5.9022770716657203E-3</v>
      </c>
      <c r="N28" s="3">
        <v>1</v>
      </c>
      <c r="O28" s="3">
        <v>0</v>
      </c>
      <c r="P28" s="3">
        <v>5</v>
      </c>
      <c r="Q28" s="3">
        <v>0</v>
      </c>
    </row>
    <row r="29" spans="1:17" x14ac:dyDescent="0.3">
      <c r="A29" s="1" t="s">
        <v>128</v>
      </c>
      <c r="B29" s="2" t="s">
        <v>664</v>
      </c>
      <c r="C29" s="2" t="s">
        <v>665</v>
      </c>
      <c r="D29" s="3">
        <v>70</v>
      </c>
      <c r="E29" s="4">
        <v>0.72208690186218305</v>
      </c>
      <c r="F29" s="4">
        <v>0.51334660682347399</v>
      </c>
      <c r="G29" s="4">
        <v>0.54388688286707398</v>
      </c>
      <c r="H29" s="4">
        <v>7.9303479229237694E-3</v>
      </c>
      <c r="I29" s="4">
        <v>0.232038605608612</v>
      </c>
      <c r="J29" s="4">
        <v>6.8437215266763399E-2</v>
      </c>
      <c r="K29" s="4">
        <v>0</v>
      </c>
      <c r="L29" s="4">
        <v>0.141835116255526</v>
      </c>
      <c r="M29" s="4">
        <v>5.8718320791009996E-3</v>
      </c>
      <c r="N29" s="3">
        <v>0</v>
      </c>
      <c r="O29" s="3">
        <v>11</v>
      </c>
      <c r="P29" s="3">
        <v>1</v>
      </c>
      <c r="Q29" s="3">
        <v>1</v>
      </c>
    </row>
    <row r="30" spans="1:17" x14ac:dyDescent="0.3">
      <c r="A30" s="1" t="s">
        <v>132</v>
      </c>
      <c r="B30" s="2" t="s">
        <v>666</v>
      </c>
      <c r="C30" s="2" t="s">
        <v>667</v>
      </c>
      <c r="D30" s="3">
        <v>69</v>
      </c>
      <c r="E30" s="4">
        <v>0.76097143145059698</v>
      </c>
      <c r="F30" s="4">
        <v>0.43603379219817601</v>
      </c>
      <c r="G30" s="4">
        <v>0.44983339503887398</v>
      </c>
      <c r="H30" s="4">
        <v>4.2745111238261897E-3</v>
      </c>
      <c r="I30" s="4">
        <v>0.15681060886540299</v>
      </c>
      <c r="J30" s="4">
        <v>5.4222341893574798E-2</v>
      </c>
      <c r="K30" s="4">
        <v>0</v>
      </c>
      <c r="L30" s="4">
        <v>0.33294066170778502</v>
      </c>
      <c r="M30" s="4">
        <v>1.91848137053616E-3</v>
      </c>
      <c r="N30" s="3">
        <v>1</v>
      </c>
      <c r="O30" s="3">
        <v>11</v>
      </c>
      <c r="P30" s="3">
        <v>2</v>
      </c>
      <c r="Q30" s="3">
        <v>0</v>
      </c>
    </row>
    <row r="31" spans="1:17" x14ac:dyDescent="0.3">
      <c r="A31" s="1" t="s">
        <v>138</v>
      </c>
      <c r="B31" s="2" t="s">
        <v>668</v>
      </c>
      <c r="C31" s="2" t="s">
        <v>669</v>
      </c>
      <c r="D31" s="3">
        <v>68</v>
      </c>
      <c r="E31" s="4">
        <v>0.70364851632679104</v>
      </c>
      <c r="F31" s="4">
        <v>0.52954105200417201</v>
      </c>
      <c r="G31" s="4">
        <v>0.54116376098941998</v>
      </c>
      <c r="H31" s="4">
        <v>1.8141856653255801E-2</v>
      </c>
      <c r="I31" s="4">
        <v>0.19870362092087601</v>
      </c>
      <c r="J31" s="4">
        <v>5.6399940396364201E-2</v>
      </c>
      <c r="K31" s="4">
        <v>0</v>
      </c>
      <c r="L31" s="4">
        <v>0.17955595291312801</v>
      </c>
      <c r="M31" s="4">
        <v>6.0348681269557503E-3</v>
      </c>
      <c r="N31" s="3">
        <v>5</v>
      </c>
      <c r="O31" s="3">
        <v>5</v>
      </c>
      <c r="P31" s="3">
        <v>3</v>
      </c>
      <c r="Q31" s="3">
        <v>1</v>
      </c>
    </row>
    <row r="32" spans="1:17" x14ac:dyDescent="0.3">
      <c r="A32" s="1" t="s">
        <v>143</v>
      </c>
      <c r="B32" s="2" t="s">
        <v>670</v>
      </c>
      <c r="C32" s="2" t="s">
        <v>671</v>
      </c>
      <c r="D32" s="3">
        <v>67</v>
      </c>
      <c r="E32" s="4">
        <v>0.76491825889416298</v>
      </c>
      <c r="F32" s="4">
        <v>0.56446852102649603</v>
      </c>
      <c r="G32" s="4">
        <v>0.58658888078619298</v>
      </c>
      <c r="H32" s="4">
        <v>3.61148730770566E-3</v>
      </c>
      <c r="I32" s="4">
        <v>0.18918637358058099</v>
      </c>
      <c r="J32" s="4">
        <v>6.4590061464735907E-2</v>
      </c>
      <c r="K32" s="4">
        <v>0</v>
      </c>
      <c r="L32" s="4">
        <v>0.14428586311074099</v>
      </c>
      <c r="M32" s="4">
        <v>1.17373337500434E-2</v>
      </c>
      <c r="N32" s="3">
        <v>0</v>
      </c>
      <c r="O32" s="3">
        <v>9</v>
      </c>
      <c r="P32" s="3">
        <v>1</v>
      </c>
      <c r="Q32" s="3">
        <v>1</v>
      </c>
    </row>
    <row r="33" spans="1:17" x14ac:dyDescent="0.3">
      <c r="A33" s="1" t="s">
        <v>145</v>
      </c>
      <c r="B33" s="2" t="s">
        <v>672</v>
      </c>
      <c r="C33" s="2" t="s">
        <v>673</v>
      </c>
      <c r="D33" s="3">
        <v>66</v>
      </c>
      <c r="E33" s="4">
        <v>0.82688050598599505</v>
      </c>
      <c r="F33" s="4">
        <v>0.49789043664612898</v>
      </c>
      <c r="G33" s="4">
        <v>0.51356147870345603</v>
      </c>
      <c r="H33" s="4">
        <v>3.3485132601125101E-3</v>
      </c>
      <c r="I33" s="4">
        <v>0.123660594695955</v>
      </c>
      <c r="J33" s="4">
        <v>9.5968390034824505E-2</v>
      </c>
      <c r="K33" s="4">
        <v>0</v>
      </c>
      <c r="L33" s="4">
        <v>0.25964371818912402</v>
      </c>
      <c r="M33" s="4">
        <v>3.8173051165282601E-3</v>
      </c>
      <c r="N33" s="3">
        <v>1</v>
      </c>
      <c r="O33" s="3">
        <v>15</v>
      </c>
      <c r="P33" s="3">
        <v>1</v>
      </c>
      <c r="Q33" s="3">
        <v>0</v>
      </c>
    </row>
    <row r="34" spans="1:17" x14ac:dyDescent="0.3">
      <c r="A34" s="1" t="s">
        <v>150</v>
      </c>
      <c r="B34" s="2" t="s">
        <v>674</v>
      </c>
      <c r="C34" s="2" t="s">
        <v>675</v>
      </c>
      <c r="D34" s="3">
        <v>65</v>
      </c>
      <c r="E34" s="4">
        <v>0.69531038221740304</v>
      </c>
      <c r="F34" s="4">
        <v>0.56270450751252099</v>
      </c>
      <c r="G34" s="4">
        <v>0.57616026711185298</v>
      </c>
      <c r="H34" s="4">
        <v>1.40233722871452E-3</v>
      </c>
      <c r="I34" s="4">
        <v>0.23966611018363901</v>
      </c>
      <c r="J34" s="4">
        <v>2.1936560934891498E-2</v>
      </c>
      <c r="K34" s="4">
        <v>0</v>
      </c>
      <c r="L34" s="4">
        <v>0.13833055091819699</v>
      </c>
      <c r="M34" s="4">
        <v>2.2504173622704501E-2</v>
      </c>
      <c r="N34" s="3">
        <v>2</v>
      </c>
      <c r="O34" s="3">
        <v>1</v>
      </c>
      <c r="P34" s="3">
        <v>0</v>
      </c>
      <c r="Q34" s="3">
        <v>0</v>
      </c>
    </row>
    <row r="35" spans="1:17" x14ac:dyDescent="0.3">
      <c r="A35" s="1" t="s">
        <v>153</v>
      </c>
      <c r="B35" s="2" t="s">
        <v>676</v>
      </c>
      <c r="C35" s="2" t="s">
        <v>677</v>
      </c>
      <c r="D35" s="3">
        <v>64</v>
      </c>
      <c r="E35" s="4">
        <v>0.70567168827124405</v>
      </c>
      <c r="F35" s="4">
        <v>0.57680556021891705</v>
      </c>
      <c r="G35" s="4">
        <v>0.58597186314340399</v>
      </c>
      <c r="H35" s="4">
        <v>1.00728603565793E-4</v>
      </c>
      <c r="I35" s="4">
        <v>0.245744216499345</v>
      </c>
      <c r="J35" s="4">
        <v>2.2596783399926101E-2</v>
      </c>
      <c r="K35" s="4">
        <v>0</v>
      </c>
      <c r="L35" s="4">
        <v>0.140885740187355</v>
      </c>
      <c r="M35" s="4">
        <v>4.7006681664036503E-3</v>
      </c>
      <c r="N35" s="3">
        <v>2</v>
      </c>
      <c r="O35" s="3">
        <v>2</v>
      </c>
      <c r="P35" s="3">
        <v>0</v>
      </c>
      <c r="Q35" s="3">
        <v>0</v>
      </c>
    </row>
    <row r="36" spans="1:17" x14ac:dyDescent="0.3">
      <c r="A36" s="1" t="s">
        <v>157</v>
      </c>
      <c r="B36" s="2" t="s">
        <v>678</v>
      </c>
      <c r="C36" s="2" t="s">
        <v>679</v>
      </c>
      <c r="D36" s="3">
        <v>63</v>
      </c>
      <c r="E36" s="4">
        <v>0.72876151484135099</v>
      </c>
      <c r="F36" s="4">
        <v>0.55728373576970502</v>
      </c>
      <c r="G36" s="4">
        <v>0.57762308752084701</v>
      </c>
      <c r="H36" s="4">
        <v>7.2511057936335303E-4</v>
      </c>
      <c r="I36" s="4">
        <v>0.20379232833006999</v>
      </c>
      <c r="J36" s="4">
        <v>1.53723442825031E-2</v>
      </c>
      <c r="K36" s="4">
        <v>0</v>
      </c>
      <c r="L36" s="4">
        <v>0.191755492712639</v>
      </c>
      <c r="M36" s="4">
        <v>1.07316365745776E-2</v>
      </c>
      <c r="N36" s="3">
        <v>2</v>
      </c>
      <c r="O36" s="3">
        <v>1</v>
      </c>
      <c r="P36" s="3">
        <v>0</v>
      </c>
      <c r="Q36" s="3">
        <v>0</v>
      </c>
    </row>
    <row r="37" spans="1:17" x14ac:dyDescent="0.3">
      <c r="A37" s="1" t="s">
        <v>161</v>
      </c>
      <c r="B37" s="2" t="s">
        <v>680</v>
      </c>
      <c r="C37" s="2" t="s">
        <v>681</v>
      </c>
      <c r="D37" s="3">
        <v>62</v>
      </c>
      <c r="E37" s="4">
        <v>0.73569306930693101</v>
      </c>
      <c r="F37" s="4">
        <v>0.47590463594126198</v>
      </c>
      <c r="G37" s="4">
        <v>0.48970732865330502</v>
      </c>
      <c r="H37" s="4">
        <v>5.76525248414556E-4</v>
      </c>
      <c r="I37" s="4">
        <v>0.17604368026587999</v>
      </c>
      <c r="J37" s="4">
        <v>1.3700952962322399E-2</v>
      </c>
      <c r="K37" s="4">
        <v>0</v>
      </c>
      <c r="L37" s="4">
        <v>0.31580018313154901</v>
      </c>
      <c r="M37" s="4">
        <v>4.1713297385288402E-3</v>
      </c>
      <c r="N37" s="3">
        <v>1</v>
      </c>
      <c r="O37" s="3">
        <v>1</v>
      </c>
      <c r="P37" s="3">
        <v>0</v>
      </c>
      <c r="Q37" s="3">
        <v>0</v>
      </c>
    </row>
    <row r="38" spans="1:17" x14ac:dyDescent="0.3">
      <c r="A38" s="1" t="s">
        <v>167</v>
      </c>
      <c r="B38" s="2" t="s">
        <v>682</v>
      </c>
      <c r="C38" s="2" t="s">
        <v>683</v>
      </c>
      <c r="D38" s="3">
        <v>61</v>
      </c>
      <c r="E38" s="4">
        <v>0.69341474051461005</v>
      </c>
      <c r="F38" s="4">
        <v>0.55636846224520997</v>
      </c>
      <c r="G38" s="4">
        <v>0.57103481131112399</v>
      </c>
      <c r="H38" s="4">
        <v>0</v>
      </c>
      <c r="I38" s="4">
        <v>0.25923027188893</v>
      </c>
      <c r="J38" s="4">
        <v>2.41263143566883E-2</v>
      </c>
      <c r="K38" s="4">
        <v>0</v>
      </c>
      <c r="L38" s="4">
        <v>0.14210365127437299</v>
      </c>
      <c r="M38" s="4">
        <v>3.5049511688842001E-3</v>
      </c>
      <c r="N38" s="3">
        <v>2</v>
      </c>
      <c r="O38" s="3">
        <v>3</v>
      </c>
      <c r="P38" s="3">
        <v>0</v>
      </c>
      <c r="Q38" s="3">
        <v>0</v>
      </c>
    </row>
    <row r="39" spans="1:17" x14ac:dyDescent="0.3">
      <c r="A39" s="1" t="s">
        <v>171</v>
      </c>
      <c r="B39" s="2" t="s">
        <v>684</v>
      </c>
      <c r="C39" s="2" t="s">
        <v>685</v>
      </c>
      <c r="D39" s="3">
        <v>60</v>
      </c>
      <c r="E39" s="4">
        <v>0.69527796252102803</v>
      </c>
      <c r="F39" s="4">
        <v>0.527970147246689</v>
      </c>
      <c r="G39" s="4">
        <v>0.54340079338398395</v>
      </c>
      <c r="H39" s="4">
        <v>3.52988637127681E-3</v>
      </c>
      <c r="I39" s="4">
        <v>0.25667316613998498</v>
      </c>
      <c r="J39" s="4">
        <v>5.0527802057419503E-2</v>
      </c>
      <c r="K39" s="4">
        <v>0</v>
      </c>
      <c r="L39" s="4">
        <v>0.14267464533046501</v>
      </c>
      <c r="M39" s="4">
        <v>3.1937067168695001E-3</v>
      </c>
      <c r="N39" s="3">
        <v>1</v>
      </c>
      <c r="O39" s="3">
        <v>11</v>
      </c>
      <c r="P39" s="3">
        <v>1</v>
      </c>
      <c r="Q39" s="3">
        <v>0</v>
      </c>
    </row>
    <row r="40" spans="1:17" x14ac:dyDescent="0.3">
      <c r="A40" s="1" t="s">
        <v>173</v>
      </c>
      <c r="B40" s="2" t="s">
        <v>686</v>
      </c>
      <c r="C40" s="2" t="s">
        <v>687</v>
      </c>
      <c r="D40" s="3">
        <v>59</v>
      </c>
      <c r="E40" s="4">
        <v>0.69738129721689401</v>
      </c>
      <c r="F40" s="4">
        <v>0.565025741108382</v>
      </c>
      <c r="G40" s="4">
        <v>0.57508664490729799</v>
      </c>
      <c r="H40" s="4">
        <v>6.7297015377368002E-5</v>
      </c>
      <c r="I40" s="4">
        <v>0.25438271812645102</v>
      </c>
      <c r="J40" s="4">
        <v>2.4327871058918499E-2</v>
      </c>
      <c r="K40" s="4">
        <v>0</v>
      </c>
      <c r="L40" s="4">
        <v>0.14223224200006701</v>
      </c>
      <c r="M40" s="4">
        <v>3.9032268918873401E-3</v>
      </c>
      <c r="N40" s="3">
        <v>1</v>
      </c>
      <c r="O40" s="3">
        <v>4</v>
      </c>
      <c r="P40" s="3">
        <v>0</v>
      </c>
      <c r="Q40" s="3">
        <v>0</v>
      </c>
    </row>
    <row r="41" spans="1:17" x14ac:dyDescent="0.3">
      <c r="A41" s="1" t="s">
        <v>177</v>
      </c>
      <c r="B41" s="2" t="s">
        <v>688</v>
      </c>
      <c r="C41" s="2" t="s">
        <v>689</v>
      </c>
      <c r="D41" s="3">
        <v>58</v>
      </c>
      <c r="E41" s="4">
        <v>0.76123244929797196</v>
      </c>
      <c r="F41" s="4">
        <v>0.48579278917035301</v>
      </c>
      <c r="G41" s="4">
        <v>0.51601661975606505</v>
      </c>
      <c r="H41" s="4">
        <v>1.0052271813429799E-3</v>
      </c>
      <c r="I41" s="4">
        <v>0.20158155743198</v>
      </c>
      <c r="J41" s="4">
        <v>0.13697895724433701</v>
      </c>
      <c r="K41" s="4">
        <v>0</v>
      </c>
      <c r="L41" s="4">
        <v>0.141133896260555</v>
      </c>
      <c r="M41" s="4">
        <v>3.2837421257204099E-3</v>
      </c>
      <c r="N41" s="3">
        <v>1</v>
      </c>
      <c r="O41" s="3">
        <v>3</v>
      </c>
      <c r="P41" s="3">
        <v>0</v>
      </c>
      <c r="Q41" s="3">
        <v>1</v>
      </c>
    </row>
    <row r="42" spans="1:17" x14ac:dyDescent="0.3">
      <c r="A42" s="1" t="s">
        <v>181</v>
      </c>
      <c r="B42" s="2" t="s">
        <v>690</v>
      </c>
      <c r="C42" s="2" t="s">
        <v>691</v>
      </c>
      <c r="D42" s="3">
        <v>57</v>
      </c>
      <c r="E42" s="4">
        <v>0.695039590125757</v>
      </c>
      <c r="F42" s="4">
        <v>0.572258996673499</v>
      </c>
      <c r="G42" s="4">
        <v>0.58418735929572296</v>
      </c>
      <c r="H42" s="4">
        <v>3.3601021471052698E-5</v>
      </c>
      <c r="I42" s="4">
        <v>0.24081852088303499</v>
      </c>
      <c r="J42" s="4">
        <v>1.7472531164947399E-2</v>
      </c>
      <c r="K42" s="4">
        <v>0</v>
      </c>
      <c r="L42" s="4">
        <v>0.136420147172474</v>
      </c>
      <c r="M42" s="4">
        <v>2.10678404623501E-2</v>
      </c>
      <c r="N42" s="3">
        <v>3</v>
      </c>
      <c r="O42" s="3">
        <v>1</v>
      </c>
      <c r="P42" s="3">
        <v>0</v>
      </c>
      <c r="Q42" s="3">
        <v>0</v>
      </c>
    </row>
    <row r="43" spans="1:17" x14ac:dyDescent="0.3">
      <c r="A43" s="1" t="s">
        <v>185</v>
      </c>
      <c r="B43" s="2" t="s">
        <v>692</v>
      </c>
      <c r="C43" s="2" t="s">
        <v>693</v>
      </c>
      <c r="D43" s="3">
        <v>56</v>
      </c>
      <c r="E43" s="4">
        <v>0.69664535949655604</v>
      </c>
      <c r="F43" s="4">
        <v>0.46542627048042201</v>
      </c>
      <c r="G43" s="4">
        <v>0.47490280477645103</v>
      </c>
      <c r="H43" s="4">
        <v>3.01999444598723E-3</v>
      </c>
      <c r="I43" s="4">
        <v>0.207581227436823</v>
      </c>
      <c r="J43" s="4">
        <v>1.01013607331297E-2</v>
      </c>
      <c r="K43" s="4">
        <v>0</v>
      </c>
      <c r="L43" s="4">
        <v>0.30179116911968901</v>
      </c>
      <c r="M43" s="4">
        <v>2.6034434879200199E-3</v>
      </c>
      <c r="N43" s="3">
        <v>1</v>
      </c>
      <c r="O43" s="3">
        <v>1</v>
      </c>
      <c r="P43" s="3">
        <v>1</v>
      </c>
      <c r="Q43" s="3">
        <v>2</v>
      </c>
    </row>
    <row r="44" spans="1:17" x14ac:dyDescent="0.3">
      <c r="A44" s="1" t="s">
        <v>190</v>
      </c>
      <c r="B44" s="2" t="s">
        <v>694</v>
      </c>
      <c r="C44" s="2" t="s">
        <v>695</v>
      </c>
      <c r="D44" s="3">
        <v>55</v>
      </c>
      <c r="E44" s="4">
        <v>0.70266186214111404</v>
      </c>
      <c r="F44" s="4">
        <v>0.64380836602751801</v>
      </c>
      <c r="G44" s="4">
        <v>0.65602033486213196</v>
      </c>
      <c r="H44" s="4">
        <v>2.2103111012875101E-4</v>
      </c>
      <c r="I44" s="4">
        <v>0.27954909653533699</v>
      </c>
      <c r="J44" s="4">
        <v>1.18251643918882E-2</v>
      </c>
      <c r="K44" s="4">
        <v>0</v>
      </c>
      <c r="L44" s="4">
        <v>4.9731999778968902E-2</v>
      </c>
      <c r="M44" s="4">
        <v>2.6523733215450102E-3</v>
      </c>
      <c r="N44" s="3">
        <v>1</v>
      </c>
      <c r="O44" s="3">
        <v>0</v>
      </c>
      <c r="P44" s="3">
        <v>0</v>
      </c>
      <c r="Q44" s="3">
        <v>0</v>
      </c>
    </row>
    <row r="45" spans="1:17" x14ac:dyDescent="0.3">
      <c r="A45" s="1" t="s">
        <v>193</v>
      </c>
      <c r="B45" s="2" t="s">
        <v>696</v>
      </c>
      <c r="C45" s="2" t="s">
        <v>697</v>
      </c>
      <c r="D45" s="3">
        <v>54</v>
      </c>
      <c r="E45" s="4">
        <v>0.723596610682403</v>
      </c>
      <c r="F45" s="4">
        <v>0.57347234098533195</v>
      </c>
      <c r="G45" s="4">
        <v>0.587120962967835</v>
      </c>
      <c r="H45" s="4">
        <v>8.5509438926527695E-4</v>
      </c>
      <c r="I45" s="4">
        <v>0.231237255804775</v>
      </c>
      <c r="J45" s="4">
        <v>4.11431954219562E-2</v>
      </c>
      <c r="K45" s="4">
        <v>0</v>
      </c>
      <c r="L45" s="4">
        <v>0.137637308425968</v>
      </c>
      <c r="M45" s="4">
        <v>2.0061829901993002E-3</v>
      </c>
      <c r="N45" s="3">
        <v>7</v>
      </c>
      <c r="O45" s="3">
        <v>6</v>
      </c>
      <c r="P45" s="3">
        <v>0</v>
      </c>
      <c r="Q45" s="3">
        <v>0</v>
      </c>
    </row>
    <row r="46" spans="1:17" x14ac:dyDescent="0.3">
      <c r="A46" s="1" t="s">
        <v>197</v>
      </c>
      <c r="B46" s="2" t="s">
        <v>698</v>
      </c>
      <c r="C46" s="2" t="s">
        <v>699</v>
      </c>
      <c r="D46" s="3">
        <v>53</v>
      </c>
      <c r="E46" s="4">
        <v>0.77997769102063597</v>
      </c>
      <c r="F46" s="4">
        <v>0.64717479317021698</v>
      </c>
      <c r="G46" s="4">
        <v>0.671043830311565</v>
      </c>
      <c r="H46" s="4">
        <v>2.11230417180074E-3</v>
      </c>
      <c r="I46" s="4">
        <v>0.178067241682802</v>
      </c>
      <c r="J46" s="4">
        <v>1.60535117056856E-2</v>
      </c>
      <c r="K46" s="4">
        <v>0</v>
      </c>
      <c r="L46" s="4">
        <v>0.118957929941912</v>
      </c>
      <c r="M46" s="4">
        <v>1.3765182186234799E-2</v>
      </c>
      <c r="N46" s="3">
        <v>3</v>
      </c>
      <c r="O46" s="3">
        <v>2</v>
      </c>
      <c r="P46" s="3">
        <v>1</v>
      </c>
      <c r="Q46" s="3">
        <v>2</v>
      </c>
    </row>
    <row r="47" spans="1:17" x14ac:dyDescent="0.3">
      <c r="A47" s="1" t="s">
        <v>201</v>
      </c>
      <c r="B47" s="2" t="s">
        <v>700</v>
      </c>
      <c r="C47" s="2" t="s">
        <v>701</v>
      </c>
      <c r="D47" s="3">
        <v>52</v>
      </c>
      <c r="E47" s="4">
        <v>0.72041532334534397</v>
      </c>
      <c r="F47" s="4">
        <v>0.50443090556632497</v>
      </c>
      <c r="G47" s="4">
        <v>0.51128496261423395</v>
      </c>
      <c r="H47" s="4">
        <v>5.98864580448629E-3</v>
      </c>
      <c r="I47" s="4">
        <v>0.19776377734699499</v>
      </c>
      <c r="J47" s="4">
        <v>8.7233453337025799E-3</v>
      </c>
      <c r="K47" s="4">
        <v>0</v>
      </c>
      <c r="L47" s="4">
        <v>0.27083910274162298</v>
      </c>
      <c r="M47" s="4">
        <v>5.4001661589587399E-3</v>
      </c>
      <c r="N47" s="3">
        <v>3</v>
      </c>
      <c r="O47" s="3">
        <v>0</v>
      </c>
      <c r="P47" s="3">
        <v>1</v>
      </c>
      <c r="Q47" s="3">
        <v>0</v>
      </c>
    </row>
    <row r="48" spans="1:17" x14ac:dyDescent="0.3">
      <c r="A48" s="1" t="s">
        <v>206</v>
      </c>
      <c r="B48" s="2" t="s">
        <v>702</v>
      </c>
      <c r="C48" s="2" t="s">
        <v>703</v>
      </c>
      <c r="D48" s="3">
        <v>51</v>
      </c>
      <c r="E48" s="4">
        <v>0.71393878652378395</v>
      </c>
      <c r="F48" s="4">
        <v>0.55280122283511701</v>
      </c>
      <c r="G48" s="4">
        <v>0.56732238984515204</v>
      </c>
      <c r="H48" s="4">
        <v>5.0176114840167502E-3</v>
      </c>
      <c r="I48" s="4">
        <v>0.23931680733701099</v>
      </c>
      <c r="J48" s="4">
        <v>4.3098292018342498E-2</v>
      </c>
      <c r="K48" s="4">
        <v>0</v>
      </c>
      <c r="L48" s="4">
        <v>0.138499368644913</v>
      </c>
      <c r="M48" s="4">
        <v>6.7455306705655601E-3</v>
      </c>
      <c r="N48" s="3">
        <v>5</v>
      </c>
      <c r="O48" s="3">
        <v>8</v>
      </c>
      <c r="P48" s="3">
        <v>2</v>
      </c>
      <c r="Q48" s="3">
        <v>0</v>
      </c>
    </row>
    <row r="49" spans="1:17" x14ac:dyDescent="0.3">
      <c r="A49" s="1" t="s">
        <v>208</v>
      </c>
      <c r="B49" s="2" t="s">
        <v>704</v>
      </c>
      <c r="C49" s="2" t="s">
        <v>705</v>
      </c>
      <c r="D49" s="3">
        <v>50</v>
      </c>
      <c r="E49" s="4">
        <v>0.66945835942391996</v>
      </c>
      <c r="F49" s="4">
        <v>0.55493137782561897</v>
      </c>
      <c r="G49" s="4">
        <v>0.56529198062432695</v>
      </c>
      <c r="H49" s="4">
        <v>2.35468245425188E-4</v>
      </c>
      <c r="I49" s="4">
        <v>0.28081270182992502</v>
      </c>
      <c r="J49" s="4">
        <v>9.8896663078579094E-3</v>
      </c>
      <c r="K49" s="4">
        <v>0</v>
      </c>
      <c r="L49" s="4">
        <v>0.14077637244348801</v>
      </c>
      <c r="M49" s="4">
        <v>2.99381054897739E-3</v>
      </c>
      <c r="N49" s="3">
        <v>3</v>
      </c>
      <c r="O49" s="3">
        <v>0</v>
      </c>
      <c r="P49" s="3">
        <v>0</v>
      </c>
      <c r="Q49" s="3">
        <v>0</v>
      </c>
    </row>
    <row r="50" spans="1:17" x14ac:dyDescent="0.3">
      <c r="A50" s="1" t="s">
        <v>210</v>
      </c>
      <c r="B50" s="2" t="s">
        <v>706</v>
      </c>
      <c r="C50" s="2" t="s">
        <v>707</v>
      </c>
      <c r="D50" s="3">
        <v>49</v>
      </c>
      <c r="E50" s="4">
        <v>0.68951054646143795</v>
      </c>
      <c r="F50" s="4">
        <v>0.55217497131332804</v>
      </c>
      <c r="G50" s="4">
        <v>0.55662575193852304</v>
      </c>
      <c r="H50" s="4">
        <v>0</v>
      </c>
      <c r="I50" s="4">
        <v>0.26224833965019601</v>
      </c>
      <c r="J50" s="4">
        <v>3.2163844361764997E-2</v>
      </c>
      <c r="K50" s="4">
        <v>0</v>
      </c>
      <c r="L50" s="4">
        <v>0.14642372822420799</v>
      </c>
      <c r="M50" s="4">
        <v>2.5383358253068598E-3</v>
      </c>
      <c r="N50" s="3">
        <v>0</v>
      </c>
      <c r="O50" s="3">
        <v>3</v>
      </c>
      <c r="P50" s="3">
        <v>0</v>
      </c>
      <c r="Q50" s="3">
        <v>2</v>
      </c>
    </row>
    <row r="51" spans="1:17" x14ac:dyDescent="0.3">
      <c r="A51" s="1" t="s">
        <v>213</v>
      </c>
      <c r="B51" s="2" t="s">
        <v>708</v>
      </c>
      <c r="C51" s="2" t="s">
        <v>709</v>
      </c>
      <c r="D51" s="3">
        <v>48</v>
      </c>
      <c r="E51" s="4">
        <v>0.67908190498784204</v>
      </c>
      <c r="F51" s="4">
        <v>0.58819557756147001</v>
      </c>
      <c r="G51" s="4">
        <v>0.61205198897203605</v>
      </c>
      <c r="H51" s="4">
        <v>1.1196759129015899E-2</v>
      </c>
      <c r="I51" s="4">
        <v>0.28644573229055298</v>
      </c>
      <c r="J51" s="4">
        <v>2.0986890226748399E-2</v>
      </c>
      <c r="K51" s="4">
        <v>0</v>
      </c>
      <c r="L51" s="4">
        <v>6.1328982163956602E-2</v>
      </c>
      <c r="M51" s="4">
        <v>7.9896472176897507E-3</v>
      </c>
      <c r="N51" s="3">
        <v>2</v>
      </c>
      <c r="O51" s="3">
        <v>2</v>
      </c>
      <c r="P51" s="3">
        <v>3</v>
      </c>
      <c r="Q51" s="3">
        <v>0</v>
      </c>
    </row>
    <row r="52" spans="1:17" x14ac:dyDescent="0.3">
      <c r="A52" s="1" t="s">
        <v>217</v>
      </c>
      <c r="B52" s="2" t="s">
        <v>710</v>
      </c>
      <c r="C52" s="2" t="s">
        <v>711</v>
      </c>
      <c r="D52" s="3">
        <v>47</v>
      </c>
      <c r="E52" s="4">
        <v>0.67342260827602896</v>
      </c>
      <c r="F52" s="4">
        <v>0.55534863732407003</v>
      </c>
      <c r="G52" s="4">
        <v>0.56333488522006903</v>
      </c>
      <c r="H52" s="4">
        <v>5.0137879167711202E-4</v>
      </c>
      <c r="I52" s="4">
        <v>0.23521827883823401</v>
      </c>
      <c r="J52" s="4">
        <v>3.5884396375747599E-2</v>
      </c>
      <c r="K52" s="4">
        <v>0</v>
      </c>
      <c r="L52" s="4">
        <v>0.16058446442001201</v>
      </c>
      <c r="M52" s="4">
        <v>4.4765963542599298E-3</v>
      </c>
      <c r="N52" s="3">
        <v>1</v>
      </c>
      <c r="O52" s="3">
        <v>6</v>
      </c>
      <c r="P52" s="3">
        <v>0</v>
      </c>
      <c r="Q52" s="3">
        <v>0</v>
      </c>
    </row>
    <row r="53" spans="1:17" x14ac:dyDescent="0.3">
      <c r="A53" s="1" t="s">
        <v>222</v>
      </c>
      <c r="B53" s="2" t="s">
        <v>712</v>
      </c>
      <c r="C53" s="2" t="s">
        <v>713</v>
      </c>
      <c r="D53" s="3">
        <v>46</v>
      </c>
      <c r="E53" s="4">
        <v>0.69809481252792804</v>
      </c>
      <c r="F53" s="4">
        <v>0.55815083469267301</v>
      </c>
      <c r="G53" s="4">
        <v>0.57887064866553295</v>
      </c>
      <c r="H53" s="4">
        <v>3.81772116752855E-4</v>
      </c>
      <c r="I53" s="4">
        <v>0.25356609863603202</v>
      </c>
      <c r="J53" s="4">
        <v>1.7179745253878501E-2</v>
      </c>
      <c r="K53" s="4">
        <v>0</v>
      </c>
      <c r="L53" s="4">
        <v>0.145906361711727</v>
      </c>
      <c r="M53" s="4">
        <v>4.0953736160760802E-3</v>
      </c>
      <c r="N53" s="3">
        <v>2</v>
      </c>
      <c r="O53" s="3">
        <v>1</v>
      </c>
      <c r="P53" s="3">
        <v>0</v>
      </c>
      <c r="Q53" s="3">
        <v>0</v>
      </c>
    </row>
    <row r="54" spans="1:17" x14ac:dyDescent="0.3">
      <c r="A54" s="1" t="s">
        <v>224</v>
      </c>
      <c r="B54" s="2" t="s">
        <v>714</v>
      </c>
      <c r="C54" s="2" t="s">
        <v>715</v>
      </c>
      <c r="D54" s="3">
        <v>45</v>
      </c>
      <c r="E54" s="4">
        <v>0.69352597943873295</v>
      </c>
      <c r="F54" s="4">
        <v>0.53002824185919895</v>
      </c>
      <c r="G54" s="4">
        <v>0.56510939467147603</v>
      </c>
      <c r="H54" s="4">
        <v>3.7769233386641299E-3</v>
      </c>
      <c r="I54" s="4">
        <v>0.255912075946783</v>
      </c>
      <c r="J54" s="4">
        <v>2.5009357242505699E-2</v>
      </c>
      <c r="K54" s="4">
        <v>0</v>
      </c>
      <c r="L54" s="4">
        <v>0.14321684984177799</v>
      </c>
      <c r="M54" s="4">
        <v>6.9753989587941099E-3</v>
      </c>
      <c r="N54" s="3">
        <v>1</v>
      </c>
      <c r="O54" s="3">
        <v>3</v>
      </c>
      <c r="P54" s="3">
        <v>1</v>
      </c>
      <c r="Q54" s="3">
        <v>1</v>
      </c>
    </row>
    <row r="55" spans="1:17" x14ac:dyDescent="0.3">
      <c r="A55" s="1" t="s">
        <v>227</v>
      </c>
      <c r="B55" s="2" t="s">
        <v>716</v>
      </c>
      <c r="C55" s="2" t="s">
        <v>717</v>
      </c>
      <c r="D55" s="3">
        <v>44</v>
      </c>
      <c r="E55" s="4">
        <v>0.71640091116173099</v>
      </c>
      <c r="F55" s="4">
        <v>0.54639905548996504</v>
      </c>
      <c r="G55" s="4">
        <v>0.55422499578343698</v>
      </c>
      <c r="H55" s="4">
        <v>6.7465002529937596E-5</v>
      </c>
      <c r="I55" s="4">
        <v>0.23875864395344901</v>
      </c>
      <c r="J55" s="4">
        <v>6.1022094788328603E-2</v>
      </c>
      <c r="K55" s="4">
        <v>0</v>
      </c>
      <c r="L55" s="4">
        <v>0.142992072862203</v>
      </c>
      <c r="M55" s="4">
        <v>2.9347276100522802E-3</v>
      </c>
      <c r="N55" s="3">
        <v>1</v>
      </c>
      <c r="O55" s="3">
        <v>9</v>
      </c>
      <c r="P55" s="3">
        <v>0</v>
      </c>
      <c r="Q55" s="3">
        <v>0</v>
      </c>
    </row>
    <row r="56" spans="1:17" x14ac:dyDescent="0.3">
      <c r="A56" s="1" t="s">
        <v>231</v>
      </c>
      <c r="B56" s="2" t="s">
        <v>718</v>
      </c>
      <c r="C56" s="2" t="s">
        <v>719</v>
      </c>
      <c r="D56" s="3">
        <v>43</v>
      </c>
      <c r="E56" s="4">
        <v>0.67961702127659596</v>
      </c>
      <c r="F56" s="4">
        <v>0.52849609939323905</v>
      </c>
      <c r="G56" s="4">
        <v>0.52849609939323905</v>
      </c>
      <c r="H56" s="4">
        <v>0</v>
      </c>
      <c r="I56" s="4">
        <v>0.26820283155157498</v>
      </c>
      <c r="J56" s="4">
        <v>4.83241837619185E-2</v>
      </c>
      <c r="K56" s="4">
        <v>0</v>
      </c>
      <c r="L56" s="4">
        <v>0.15335163247616301</v>
      </c>
      <c r="M56" s="4">
        <v>1.6252528171048801E-3</v>
      </c>
      <c r="N56" s="3">
        <v>0</v>
      </c>
      <c r="O56" s="3">
        <v>7</v>
      </c>
      <c r="P56" s="3">
        <v>0</v>
      </c>
      <c r="Q56" s="3">
        <v>0</v>
      </c>
    </row>
    <row r="57" spans="1:17" x14ac:dyDescent="0.3">
      <c r="A57" s="1" t="s">
        <v>235</v>
      </c>
      <c r="B57" s="2" t="s">
        <v>720</v>
      </c>
      <c r="C57" s="2" t="s">
        <v>721</v>
      </c>
      <c r="D57" s="3">
        <v>42</v>
      </c>
      <c r="E57" s="4">
        <v>0.65449973638317704</v>
      </c>
      <c r="F57" s="4">
        <v>0.53279711551795905</v>
      </c>
      <c r="G57" s="4">
        <v>0.54420330051310495</v>
      </c>
      <c r="H57" s="4">
        <v>1.04007765913188E-4</v>
      </c>
      <c r="I57" s="4">
        <v>0.287685480515879</v>
      </c>
      <c r="J57" s="4">
        <v>1.51851338233255E-2</v>
      </c>
      <c r="K57" s="4">
        <v>0</v>
      </c>
      <c r="L57" s="4">
        <v>0.14536818749133301</v>
      </c>
      <c r="M57" s="4">
        <v>7.4538898904451499E-3</v>
      </c>
      <c r="N57" s="3">
        <v>0</v>
      </c>
      <c r="O57" s="3">
        <v>1</v>
      </c>
      <c r="P57" s="3">
        <v>0</v>
      </c>
      <c r="Q57" s="3">
        <v>7</v>
      </c>
    </row>
    <row r="58" spans="1:17" x14ac:dyDescent="0.3">
      <c r="A58" s="1" t="s">
        <v>237</v>
      </c>
      <c r="B58" s="2" t="s">
        <v>722</v>
      </c>
      <c r="C58" s="2" t="s">
        <v>723</v>
      </c>
      <c r="D58" s="3">
        <v>41</v>
      </c>
      <c r="E58" s="4">
        <v>0.66536533245664498</v>
      </c>
      <c r="F58" s="4">
        <v>0.53150089401535605</v>
      </c>
      <c r="G58" s="4">
        <v>0.53788170949759795</v>
      </c>
      <c r="H58" s="4">
        <v>8.7648564316516499E-4</v>
      </c>
      <c r="I58" s="4">
        <v>0.268134487957087</v>
      </c>
      <c r="J58" s="4">
        <v>2.8888966798723801E-2</v>
      </c>
      <c r="K58" s="4">
        <v>0</v>
      </c>
      <c r="L58" s="4">
        <v>0.15983592188759899</v>
      </c>
      <c r="M58" s="4">
        <v>4.3824282158258197E-3</v>
      </c>
      <c r="N58" s="3">
        <v>0</v>
      </c>
      <c r="O58" s="3">
        <v>1</v>
      </c>
      <c r="P58" s="3">
        <v>0</v>
      </c>
      <c r="Q58" s="3">
        <v>0</v>
      </c>
    </row>
    <row r="59" spans="1:17" x14ac:dyDescent="0.3">
      <c r="A59" s="1" t="s">
        <v>239</v>
      </c>
      <c r="B59" s="2" t="s">
        <v>657</v>
      </c>
      <c r="C59" s="2" t="s">
        <v>724</v>
      </c>
      <c r="D59" s="3">
        <v>40</v>
      </c>
      <c r="E59" s="4">
        <v>0.72453712881100596</v>
      </c>
      <c r="F59" s="4">
        <v>0.58954564004897303</v>
      </c>
      <c r="G59" s="4">
        <v>0.59757175894436099</v>
      </c>
      <c r="H59" s="4">
        <v>2.3806284859202801E-4</v>
      </c>
      <c r="I59" s="4">
        <v>0.213406339273568</v>
      </c>
      <c r="J59" s="4">
        <v>2.3704257924092E-2</v>
      </c>
      <c r="K59" s="4">
        <v>0</v>
      </c>
      <c r="L59" s="4">
        <v>0.146204598013876</v>
      </c>
      <c r="M59" s="4">
        <v>1.8874982995510801E-2</v>
      </c>
      <c r="N59" s="3">
        <v>0</v>
      </c>
      <c r="O59" s="3">
        <v>3</v>
      </c>
      <c r="P59" s="3">
        <v>0</v>
      </c>
      <c r="Q59" s="3">
        <v>1</v>
      </c>
    </row>
    <row r="60" spans="1:17" x14ac:dyDescent="0.3">
      <c r="A60" s="1" t="s">
        <v>242</v>
      </c>
      <c r="B60" s="2" t="s">
        <v>725</v>
      </c>
      <c r="C60" s="2" t="s">
        <v>726</v>
      </c>
      <c r="D60" s="3">
        <v>39</v>
      </c>
      <c r="E60" s="4">
        <v>0.699298979215349</v>
      </c>
      <c r="F60" s="4">
        <v>0.34903360911806097</v>
      </c>
      <c r="G60" s="4">
        <v>0.35964159428747999</v>
      </c>
      <c r="H60" s="4">
        <v>1.9499467884239102E-2</v>
      </c>
      <c r="I60" s="4">
        <v>0.16433794500326099</v>
      </c>
      <c r="J60" s="4">
        <v>1.1260256102166201E-2</v>
      </c>
      <c r="K60" s="4">
        <v>0</v>
      </c>
      <c r="L60" s="4">
        <v>0.442342682550036</v>
      </c>
      <c r="M60" s="4">
        <v>2.9180541728174702E-3</v>
      </c>
      <c r="N60" s="3">
        <v>2</v>
      </c>
      <c r="O60" s="3">
        <v>1</v>
      </c>
      <c r="P60" s="3">
        <v>4</v>
      </c>
      <c r="Q60" s="3">
        <v>0</v>
      </c>
    </row>
    <row r="61" spans="1:17" x14ac:dyDescent="0.3">
      <c r="A61" s="1" t="s">
        <v>247</v>
      </c>
      <c r="B61" s="2" t="s">
        <v>727</v>
      </c>
      <c r="C61" s="2" t="s">
        <v>728</v>
      </c>
      <c r="D61" s="3">
        <v>38</v>
      </c>
      <c r="E61" s="4">
        <v>0.67028023930547398</v>
      </c>
      <c r="F61" s="4">
        <v>0.47933717288067101</v>
      </c>
      <c r="G61" s="4">
        <v>0.48829611666835099</v>
      </c>
      <c r="H61" s="4">
        <v>4.3784311744299602E-4</v>
      </c>
      <c r="I61" s="4">
        <v>0.22687009531507901</v>
      </c>
      <c r="J61" s="4">
        <v>1.31352935232899E-2</v>
      </c>
      <c r="K61" s="4">
        <v>0</v>
      </c>
      <c r="L61" s="4">
        <v>0.26755582499747399</v>
      </c>
      <c r="M61" s="4">
        <v>3.7048263783638099E-3</v>
      </c>
      <c r="N61" s="3">
        <v>1</v>
      </c>
      <c r="O61" s="3">
        <v>1</v>
      </c>
      <c r="P61" s="3">
        <v>0</v>
      </c>
      <c r="Q61" s="3">
        <v>0</v>
      </c>
    </row>
    <row r="62" spans="1:17" x14ac:dyDescent="0.3">
      <c r="A62" s="1" t="s">
        <v>252</v>
      </c>
      <c r="B62" s="2" t="s">
        <v>729</v>
      </c>
      <c r="C62" s="2" t="s">
        <v>730</v>
      </c>
      <c r="D62" s="3">
        <v>37</v>
      </c>
      <c r="E62" s="4">
        <v>0.72721227904914898</v>
      </c>
      <c r="F62" s="4">
        <v>0.62762080802746201</v>
      </c>
      <c r="G62" s="4">
        <v>0.66421969897016098</v>
      </c>
      <c r="H62" s="4">
        <v>0</v>
      </c>
      <c r="I62" s="4">
        <v>0.25207288090837099</v>
      </c>
      <c r="J62" s="4">
        <v>2.8888302086083999E-2</v>
      </c>
      <c r="K62" s="4">
        <v>0</v>
      </c>
      <c r="L62" s="4">
        <v>4.9379456033799798E-2</v>
      </c>
      <c r="M62" s="4">
        <v>5.4396620015843703E-3</v>
      </c>
      <c r="N62" s="3">
        <v>1</v>
      </c>
      <c r="O62" s="3">
        <v>3</v>
      </c>
      <c r="P62" s="3">
        <v>0</v>
      </c>
      <c r="Q62" s="3">
        <v>0</v>
      </c>
    </row>
    <row r="63" spans="1:17" x14ac:dyDescent="0.3">
      <c r="A63" s="1" t="s">
        <v>255</v>
      </c>
      <c r="B63" s="2" t="s">
        <v>731</v>
      </c>
      <c r="C63" s="2" t="s">
        <v>732</v>
      </c>
      <c r="D63" s="3">
        <v>36</v>
      </c>
      <c r="E63" s="4">
        <v>0.70737252354660596</v>
      </c>
      <c r="F63" s="4">
        <v>0.47561801557737898</v>
      </c>
      <c r="G63" s="4">
        <v>0.49664747714189</v>
      </c>
      <c r="H63" s="4">
        <v>1.7609210971892999E-3</v>
      </c>
      <c r="I63" s="4">
        <v>0.210667118184897</v>
      </c>
      <c r="J63" s="4">
        <v>1.7880121909922098E-2</v>
      </c>
      <c r="K63" s="4">
        <v>0</v>
      </c>
      <c r="L63" s="4">
        <v>0.27047070775482601</v>
      </c>
      <c r="M63" s="4">
        <v>2.57365391127667E-3</v>
      </c>
      <c r="N63" s="3">
        <v>2</v>
      </c>
      <c r="O63" s="3">
        <v>1</v>
      </c>
      <c r="P63" s="3">
        <v>0</v>
      </c>
      <c r="Q63" s="3">
        <v>0</v>
      </c>
    </row>
    <row r="64" spans="1:17" x14ac:dyDescent="0.3">
      <c r="A64" s="1" t="s">
        <v>258</v>
      </c>
      <c r="B64" s="2" t="s">
        <v>733</v>
      </c>
      <c r="C64" s="2" t="s">
        <v>734</v>
      </c>
      <c r="D64" s="3">
        <v>35</v>
      </c>
      <c r="E64" s="4">
        <v>0.72855373180551297</v>
      </c>
      <c r="F64" s="4">
        <v>0.43635543840177599</v>
      </c>
      <c r="G64" s="4">
        <v>0.45310765815760301</v>
      </c>
      <c r="H64" s="4">
        <v>3.1215316315205302E-3</v>
      </c>
      <c r="I64" s="4">
        <v>0.176505271920089</v>
      </c>
      <c r="J64" s="4">
        <v>3.33310210876804E-2</v>
      </c>
      <c r="K64" s="4">
        <v>0</v>
      </c>
      <c r="L64" s="4">
        <v>0.32980715871254201</v>
      </c>
      <c r="M64" s="4">
        <v>4.1273584905660403E-3</v>
      </c>
      <c r="N64" s="3">
        <v>0</v>
      </c>
      <c r="O64" s="3">
        <v>6</v>
      </c>
      <c r="P64" s="3">
        <v>1</v>
      </c>
      <c r="Q64" s="3">
        <v>0</v>
      </c>
    </row>
    <row r="65" spans="1:17" x14ac:dyDescent="0.3">
      <c r="A65" s="1" t="s">
        <v>262</v>
      </c>
      <c r="B65" s="2" t="s">
        <v>735</v>
      </c>
      <c r="C65" s="2" t="s">
        <v>736</v>
      </c>
      <c r="D65" s="3">
        <v>34</v>
      </c>
      <c r="E65" s="4">
        <v>0.691562172153669</v>
      </c>
      <c r="F65" s="4">
        <v>0.451270369721395</v>
      </c>
      <c r="G65" s="4">
        <v>0.48782197301559499</v>
      </c>
      <c r="H65" s="4">
        <v>1.43332749255301E-2</v>
      </c>
      <c r="I65" s="4">
        <v>0.17928859295601901</v>
      </c>
      <c r="J65" s="4">
        <v>1.27212195549325E-2</v>
      </c>
      <c r="K65" s="4">
        <v>0</v>
      </c>
      <c r="L65" s="4">
        <v>0.30411775013141801</v>
      </c>
      <c r="M65" s="4">
        <v>1.71718941650604E-3</v>
      </c>
      <c r="N65" s="3">
        <v>1</v>
      </c>
      <c r="O65" s="3">
        <v>1</v>
      </c>
      <c r="P65" s="3">
        <v>4</v>
      </c>
      <c r="Q65" s="3">
        <v>1</v>
      </c>
    </row>
    <row r="66" spans="1:17" x14ac:dyDescent="0.3">
      <c r="A66" s="1" t="s">
        <v>268</v>
      </c>
      <c r="B66" s="2" t="s">
        <v>737</v>
      </c>
      <c r="C66" s="2" t="s">
        <v>738</v>
      </c>
      <c r="D66" s="3">
        <v>33</v>
      </c>
      <c r="E66" s="4">
        <v>0.67656477438136797</v>
      </c>
      <c r="F66" s="4">
        <v>0.61244257486024201</v>
      </c>
      <c r="G66" s="4">
        <v>0.63070792051807201</v>
      </c>
      <c r="H66" s="4">
        <v>0</v>
      </c>
      <c r="I66" s="4">
        <v>0.25383295511152898</v>
      </c>
      <c r="J66" s="4">
        <v>1.24536447667017E-2</v>
      </c>
      <c r="K66" s="4">
        <v>0</v>
      </c>
      <c r="L66" s="4">
        <v>9.8190070293906001E-2</v>
      </c>
      <c r="M66" s="4">
        <v>4.8154093097913303E-3</v>
      </c>
      <c r="N66" s="3">
        <v>3</v>
      </c>
      <c r="O66" s="3">
        <v>0</v>
      </c>
      <c r="P66" s="3">
        <v>0</v>
      </c>
      <c r="Q66" s="3">
        <v>0</v>
      </c>
    </row>
    <row r="67" spans="1:17" x14ac:dyDescent="0.3">
      <c r="A67" s="1" t="s">
        <v>272</v>
      </c>
      <c r="B67" s="2" t="s">
        <v>739</v>
      </c>
      <c r="C67" s="2" t="s">
        <v>740</v>
      </c>
      <c r="D67" s="3">
        <v>32</v>
      </c>
      <c r="E67" s="4">
        <v>0.64365946825006604</v>
      </c>
      <c r="F67" s="4">
        <v>0.51755872288115901</v>
      </c>
      <c r="G67" s="4">
        <v>0.540516296222466</v>
      </c>
      <c r="H67" s="4">
        <v>3.3223695139373401E-5</v>
      </c>
      <c r="I67" s="4">
        <v>0.28263397455064898</v>
      </c>
      <c r="J67" s="4">
        <v>2.4884547659390702E-2</v>
      </c>
      <c r="K67" s="4">
        <v>0</v>
      </c>
      <c r="L67" s="4">
        <v>0.14761287750423599</v>
      </c>
      <c r="M67" s="4">
        <v>4.3190803681185403E-3</v>
      </c>
      <c r="N67" s="3">
        <v>3</v>
      </c>
      <c r="O67" s="3">
        <v>4</v>
      </c>
      <c r="P67" s="3">
        <v>0</v>
      </c>
      <c r="Q67" s="3">
        <v>0</v>
      </c>
    </row>
    <row r="68" spans="1:17" x14ac:dyDescent="0.3">
      <c r="A68" s="1" t="s">
        <v>275</v>
      </c>
      <c r="B68" s="2" t="s">
        <v>741</v>
      </c>
      <c r="C68" s="2" t="s">
        <v>742</v>
      </c>
      <c r="D68" s="3">
        <v>31</v>
      </c>
      <c r="E68" s="4">
        <v>0.68047474085777004</v>
      </c>
      <c r="F68" s="4">
        <v>0.55550735760285597</v>
      </c>
      <c r="G68" s="4">
        <v>0.57048950582268299</v>
      </c>
      <c r="H68" s="4">
        <v>1.0310654342820901E-2</v>
      </c>
      <c r="I68" s="4">
        <v>0.263872668424038</v>
      </c>
      <c r="J68" s="4">
        <v>8.1417464713537304E-3</v>
      </c>
      <c r="K68" s="4">
        <v>0</v>
      </c>
      <c r="L68" s="4">
        <v>0.13704160966331899</v>
      </c>
      <c r="M68" s="4">
        <v>1.0143815275784999E-2</v>
      </c>
      <c r="N68" s="3">
        <v>3</v>
      </c>
      <c r="O68" s="3">
        <v>0</v>
      </c>
      <c r="P68" s="3">
        <v>5</v>
      </c>
      <c r="Q68" s="3">
        <v>1</v>
      </c>
    </row>
    <row r="69" spans="1:17" x14ac:dyDescent="0.3">
      <c r="A69" s="1" t="s">
        <v>279</v>
      </c>
      <c r="B69" s="2" t="s">
        <v>743</v>
      </c>
      <c r="C69" s="2" t="s">
        <v>744</v>
      </c>
      <c r="D69" s="3">
        <v>30</v>
      </c>
      <c r="E69" s="4">
        <v>0.75293101881305102</v>
      </c>
      <c r="F69" s="4">
        <v>0.45535862734013899</v>
      </c>
      <c r="G69" s="4">
        <v>0.46892561433844299</v>
      </c>
      <c r="H69" s="4">
        <v>4.0900475509593297E-2</v>
      </c>
      <c r="I69" s="4">
        <v>0.17567253017657</v>
      </c>
      <c r="J69" s="4">
        <v>4.1133242443387799E-2</v>
      </c>
      <c r="K69" s="4">
        <v>0</v>
      </c>
      <c r="L69" s="4">
        <v>0.26994313836331602</v>
      </c>
      <c r="M69" s="4">
        <v>3.42499916868952E-3</v>
      </c>
      <c r="N69" s="3">
        <v>6</v>
      </c>
      <c r="O69" s="3">
        <v>8</v>
      </c>
      <c r="P69" s="3">
        <v>6</v>
      </c>
      <c r="Q69" s="3">
        <v>0</v>
      </c>
    </row>
    <row r="70" spans="1:17" x14ac:dyDescent="0.3">
      <c r="A70" s="1" t="s">
        <v>283</v>
      </c>
      <c r="B70" s="2" t="s">
        <v>745</v>
      </c>
      <c r="C70" s="2" t="s">
        <v>746</v>
      </c>
      <c r="D70" s="3">
        <v>29</v>
      </c>
      <c r="E70" s="4">
        <v>0.68920229532045596</v>
      </c>
      <c r="F70" s="4">
        <v>0.53445058742225304</v>
      </c>
      <c r="G70" s="4">
        <v>0.55725639253628201</v>
      </c>
      <c r="H70" s="4">
        <v>1.3994471319972401E-2</v>
      </c>
      <c r="I70" s="4">
        <v>0.25884588804422898</v>
      </c>
      <c r="J70" s="4">
        <v>1.8071872840359399E-2</v>
      </c>
      <c r="K70" s="4">
        <v>0</v>
      </c>
      <c r="L70" s="4">
        <v>0.14523151347615701</v>
      </c>
      <c r="M70" s="4">
        <v>6.5998617829993098E-3</v>
      </c>
      <c r="N70" s="3">
        <v>1</v>
      </c>
      <c r="O70" s="3">
        <v>2</v>
      </c>
      <c r="P70" s="3">
        <v>2</v>
      </c>
      <c r="Q70" s="3">
        <v>1</v>
      </c>
    </row>
    <row r="71" spans="1:17" x14ac:dyDescent="0.3">
      <c r="A71" s="1" t="s">
        <v>284</v>
      </c>
      <c r="B71" s="2" t="s">
        <v>747</v>
      </c>
      <c r="C71" s="2" t="s">
        <v>748</v>
      </c>
      <c r="D71" s="3">
        <v>28</v>
      </c>
      <c r="E71" s="4">
        <v>0.74780976220275297</v>
      </c>
      <c r="F71" s="4">
        <v>0.55914916459773201</v>
      </c>
      <c r="G71" s="4">
        <v>0.57495135207676296</v>
      </c>
      <c r="H71" s="4">
        <v>9.2263302690733396E-3</v>
      </c>
      <c r="I71" s="4">
        <v>0.19673891162853099</v>
      </c>
      <c r="J71" s="4">
        <v>1.5768637187143501E-2</v>
      </c>
      <c r="K71" s="4">
        <v>0</v>
      </c>
      <c r="L71" s="4">
        <v>0.19610145608266799</v>
      </c>
      <c r="M71" s="4">
        <v>7.2133127558209704E-3</v>
      </c>
      <c r="N71" s="3">
        <v>3</v>
      </c>
      <c r="O71" s="3">
        <v>1</v>
      </c>
      <c r="P71" s="3">
        <v>2</v>
      </c>
      <c r="Q71" s="3">
        <v>2</v>
      </c>
    </row>
    <row r="72" spans="1:17" x14ac:dyDescent="0.3">
      <c r="A72" s="1" t="s">
        <v>289</v>
      </c>
      <c r="B72" s="2" t="s">
        <v>749</v>
      </c>
      <c r="C72" s="2" t="s">
        <v>750</v>
      </c>
      <c r="D72" s="3">
        <v>29</v>
      </c>
      <c r="E72" s="4">
        <v>0.69346529834097304</v>
      </c>
      <c r="F72" s="4">
        <v>0.56847106148351101</v>
      </c>
      <c r="G72" s="4">
        <v>0.56871380518084402</v>
      </c>
      <c r="H72" s="4">
        <v>7.1089225647605501E-3</v>
      </c>
      <c r="I72" s="4">
        <v>0.25838332697576</v>
      </c>
      <c r="J72" s="4">
        <v>1.7026736484377698E-2</v>
      </c>
      <c r="K72" s="4">
        <v>0</v>
      </c>
      <c r="L72" s="4">
        <v>0.14540347470263901</v>
      </c>
      <c r="M72" s="4">
        <v>3.3637340916184101E-3</v>
      </c>
      <c r="N72" s="3">
        <v>1</v>
      </c>
      <c r="O72" s="3">
        <v>0</v>
      </c>
      <c r="P72" s="3">
        <v>1</v>
      </c>
      <c r="Q72" s="3">
        <v>0</v>
      </c>
    </row>
    <row r="73" spans="1:17" x14ac:dyDescent="0.3">
      <c r="A73" s="1" t="s">
        <v>291</v>
      </c>
      <c r="B73" s="2" t="s">
        <v>751</v>
      </c>
      <c r="C73" s="2" t="s">
        <v>752</v>
      </c>
      <c r="D73" s="3">
        <v>30</v>
      </c>
      <c r="E73" s="4">
        <v>0.70033743809982896</v>
      </c>
      <c r="F73" s="4">
        <v>0.47509108744394601</v>
      </c>
      <c r="G73" s="4">
        <v>0.48952494394618801</v>
      </c>
      <c r="H73" s="4">
        <v>1.3663116591928299E-2</v>
      </c>
      <c r="I73" s="4">
        <v>0.23584641255605401</v>
      </c>
      <c r="J73" s="4">
        <v>5.6684417040358703E-2</v>
      </c>
      <c r="K73" s="4">
        <v>0</v>
      </c>
      <c r="L73" s="4">
        <v>0.201898822869955</v>
      </c>
      <c r="M73" s="4">
        <v>2.3822869955157002E-3</v>
      </c>
      <c r="N73" s="3">
        <v>1</v>
      </c>
      <c r="O73" s="3">
        <v>8</v>
      </c>
      <c r="P73" s="3">
        <v>4</v>
      </c>
      <c r="Q73" s="3">
        <v>0</v>
      </c>
    </row>
    <row r="74" spans="1:17" x14ac:dyDescent="0.3">
      <c r="A74" s="1" t="s">
        <v>295</v>
      </c>
      <c r="B74" s="2" t="s">
        <v>753</v>
      </c>
      <c r="C74" s="2" t="s">
        <v>754</v>
      </c>
      <c r="D74" s="3">
        <v>31</v>
      </c>
      <c r="E74" s="4">
        <v>0.67214252660805196</v>
      </c>
      <c r="F74" s="4">
        <v>0.47578531804104401</v>
      </c>
      <c r="G74" s="4">
        <v>0.48072014430112597</v>
      </c>
      <c r="H74" s="4">
        <v>0</v>
      </c>
      <c r="I74" s="4">
        <v>0.234489330565293</v>
      </c>
      <c r="J74" s="4">
        <v>1.3613313820916901E-2</v>
      </c>
      <c r="K74" s="4">
        <v>0</v>
      </c>
      <c r="L74" s="4">
        <v>0.26933941394684002</v>
      </c>
      <c r="M74" s="4">
        <v>1.8377973658237801E-3</v>
      </c>
      <c r="N74" s="3">
        <v>0</v>
      </c>
      <c r="O74" s="3">
        <v>1</v>
      </c>
      <c r="P74" s="3">
        <v>0</v>
      </c>
      <c r="Q74" s="3">
        <v>0</v>
      </c>
    </row>
    <row r="75" spans="1:17" x14ac:dyDescent="0.3">
      <c r="A75" s="1" t="s">
        <v>299</v>
      </c>
      <c r="B75" s="2" t="s">
        <v>755</v>
      </c>
      <c r="C75" s="2" t="s">
        <v>756</v>
      </c>
      <c r="D75" s="3">
        <v>32</v>
      </c>
      <c r="E75" s="4">
        <v>0.72491168714861398</v>
      </c>
      <c r="F75" s="4">
        <v>0.46898271622042897</v>
      </c>
      <c r="G75" s="4">
        <v>0.48404973849191202</v>
      </c>
      <c r="H75" s="4">
        <v>0</v>
      </c>
      <c r="I75" s="4">
        <v>0.187870181150636</v>
      </c>
      <c r="J75" s="4">
        <v>2.0608915520764801E-2</v>
      </c>
      <c r="K75" s="4">
        <v>0</v>
      </c>
      <c r="L75" s="4">
        <v>0.304319213051159</v>
      </c>
      <c r="M75" s="4">
        <v>3.1519517855287298E-3</v>
      </c>
      <c r="N75" s="3">
        <v>0</v>
      </c>
      <c r="O75" s="3">
        <v>3</v>
      </c>
      <c r="P75" s="3">
        <v>0</v>
      </c>
      <c r="Q75" s="3">
        <v>1</v>
      </c>
    </row>
    <row r="76" spans="1:17" x14ac:dyDescent="0.3">
      <c r="A76" s="1" t="s">
        <v>302</v>
      </c>
      <c r="B76" s="2" t="s">
        <v>757</v>
      </c>
      <c r="C76" s="2" t="s">
        <v>758</v>
      </c>
      <c r="D76" s="3">
        <v>33</v>
      </c>
      <c r="E76" s="4">
        <v>0.70116905293576803</v>
      </c>
      <c r="F76" s="4">
        <v>0.51361161524500898</v>
      </c>
      <c r="G76" s="4">
        <v>0.52060227196343301</v>
      </c>
      <c r="H76" s="4">
        <v>2.0501445183840799E-3</v>
      </c>
      <c r="I76" s="4">
        <v>0.21583652618135399</v>
      </c>
      <c r="J76" s="4">
        <v>2.3156550379780899E-2</v>
      </c>
      <c r="K76" s="4">
        <v>0</v>
      </c>
      <c r="L76" s="4">
        <v>0.23277542515292099</v>
      </c>
      <c r="M76" s="4">
        <v>5.5790818041271803E-3</v>
      </c>
      <c r="N76" s="3">
        <v>2</v>
      </c>
      <c r="O76" s="3">
        <v>1</v>
      </c>
      <c r="P76" s="3">
        <v>1</v>
      </c>
      <c r="Q76" s="3">
        <v>0</v>
      </c>
    </row>
    <row r="77" spans="1:17" x14ac:dyDescent="0.3">
      <c r="A77" s="1" t="s">
        <v>305</v>
      </c>
      <c r="B77" s="2" t="s">
        <v>759</v>
      </c>
      <c r="C77" s="2" t="s">
        <v>760</v>
      </c>
      <c r="D77" s="3">
        <v>34</v>
      </c>
      <c r="E77" s="4">
        <v>0.75159773302785504</v>
      </c>
      <c r="F77" s="4">
        <v>0.525112224318522</v>
      </c>
      <c r="G77" s="4">
        <v>0.55123284106434201</v>
      </c>
      <c r="H77" s="4">
        <v>5.4323075922191096E-3</v>
      </c>
      <c r="I77" s="4">
        <v>0.196603994535164</v>
      </c>
      <c r="J77" s="4">
        <v>5.1590657732092898E-2</v>
      </c>
      <c r="K77" s="4">
        <v>0</v>
      </c>
      <c r="L77" s="4">
        <v>0.19263548240192599</v>
      </c>
      <c r="M77" s="4">
        <v>2.50471667425672E-3</v>
      </c>
      <c r="N77" s="3">
        <v>3</v>
      </c>
      <c r="O77" s="3">
        <v>12</v>
      </c>
      <c r="P77" s="3">
        <v>2</v>
      </c>
      <c r="Q77" s="3">
        <v>0</v>
      </c>
    </row>
    <row r="78" spans="1:17" x14ac:dyDescent="0.3">
      <c r="A78" s="1" t="s">
        <v>309</v>
      </c>
      <c r="B78" s="2" t="s">
        <v>761</v>
      </c>
      <c r="C78" s="2" t="s">
        <v>762</v>
      </c>
      <c r="D78" s="3">
        <v>35</v>
      </c>
      <c r="E78" s="4">
        <v>0.73398097012442598</v>
      </c>
      <c r="F78" s="4">
        <v>0.348600086352918</v>
      </c>
      <c r="G78" s="4">
        <v>0.348600086352918</v>
      </c>
      <c r="H78" s="4">
        <v>0</v>
      </c>
      <c r="I78" s="4">
        <v>0.13109037164967299</v>
      </c>
      <c r="J78" s="4">
        <v>1.7768773456441601E-2</v>
      </c>
      <c r="K78" s="4">
        <v>0</v>
      </c>
      <c r="L78" s="4">
        <v>0.501046198810987</v>
      </c>
      <c r="M78" s="4">
        <v>1.49456972998107E-3</v>
      </c>
      <c r="N78" s="3">
        <v>0</v>
      </c>
      <c r="O78" s="3">
        <v>3</v>
      </c>
      <c r="P78" s="3">
        <v>0</v>
      </c>
      <c r="Q78" s="3">
        <v>0</v>
      </c>
    </row>
    <row r="79" spans="1:17" x14ac:dyDescent="0.3">
      <c r="A79" s="1" t="s">
        <v>315</v>
      </c>
      <c r="B79" s="2" t="s">
        <v>763</v>
      </c>
      <c r="C79" s="2" t="s">
        <v>764</v>
      </c>
      <c r="D79" s="3">
        <v>36</v>
      </c>
      <c r="E79" s="4">
        <v>0.71205509341333695</v>
      </c>
      <c r="F79" s="4">
        <v>0.314709762532982</v>
      </c>
      <c r="G79" s="4">
        <v>0.323779683377309</v>
      </c>
      <c r="H79" s="4">
        <v>3.2981530343007901E-5</v>
      </c>
      <c r="I79" s="4">
        <v>0.137598944591029</v>
      </c>
      <c r="J79" s="4">
        <v>2.0613456464379901E-2</v>
      </c>
      <c r="K79" s="4">
        <v>0</v>
      </c>
      <c r="L79" s="4">
        <v>0.51668865435356204</v>
      </c>
      <c r="M79" s="4">
        <v>1.28627968337731E-3</v>
      </c>
      <c r="N79" s="3">
        <v>1</v>
      </c>
      <c r="O79" s="3">
        <v>1</v>
      </c>
      <c r="P79" s="3">
        <v>0</v>
      </c>
      <c r="Q79" s="3">
        <v>1</v>
      </c>
    </row>
    <row r="80" spans="1:17" x14ac:dyDescent="0.3">
      <c r="A80" s="1" t="s">
        <v>320</v>
      </c>
      <c r="B80" s="2" t="s">
        <v>765</v>
      </c>
      <c r="C80" s="2" t="s">
        <v>766</v>
      </c>
      <c r="D80" s="3">
        <v>37</v>
      </c>
      <c r="E80" s="4">
        <v>0.74354986641145304</v>
      </c>
      <c r="F80" s="4">
        <v>0.55600710333993597</v>
      </c>
      <c r="G80" s="4">
        <v>0.56334949798511003</v>
      </c>
      <c r="H80" s="4">
        <v>6.8301345536507104E-5</v>
      </c>
      <c r="I80" s="4">
        <v>0.216378662659654</v>
      </c>
      <c r="J80" s="4">
        <v>7.3355645106208595E-2</v>
      </c>
      <c r="K80" s="4">
        <v>0</v>
      </c>
      <c r="L80" s="4">
        <v>0.144286592445871</v>
      </c>
      <c r="M80" s="4">
        <v>2.5613004576190198E-3</v>
      </c>
      <c r="N80" s="3">
        <v>1</v>
      </c>
      <c r="O80" s="3">
        <v>12</v>
      </c>
      <c r="P80" s="3">
        <v>0</v>
      </c>
      <c r="Q80" s="3">
        <v>0</v>
      </c>
    </row>
    <row r="81" spans="1:17" x14ac:dyDescent="0.3">
      <c r="A81" s="1" t="s">
        <v>323</v>
      </c>
      <c r="B81" s="2" t="s">
        <v>767</v>
      </c>
      <c r="C81" s="2" t="s">
        <v>768</v>
      </c>
      <c r="D81" s="3">
        <v>38</v>
      </c>
      <c r="E81" s="4">
        <v>0.72713986456861701</v>
      </c>
      <c r="F81" s="4">
        <v>0.46221628838451301</v>
      </c>
      <c r="G81" s="4">
        <v>0.46929238985313698</v>
      </c>
      <c r="H81" s="4">
        <v>1.0013351134846499E-4</v>
      </c>
      <c r="I81" s="4">
        <v>0.17523364485981299</v>
      </c>
      <c r="J81" s="4">
        <v>2.8805073431241699E-2</v>
      </c>
      <c r="K81" s="4">
        <v>0</v>
      </c>
      <c r="L81" s="4">
        <v>0.31535380507343103</v>
      </c>
      <c r="M81" s="4">
        <v>1.1214953271028E-2</v>
      </c>
      <c r="N81" s="3">
        <v>2</v>
      </c>
      <c r="O81" s="3">
        <v>5</v>
      </c>
      <c r="P81" s="3">
        <v>0</v>
      </c>
      <c r="Q81" s="3">
        <v>1</v>
      </c>
    </row>
    <row r="82" spans="1:17" x14ac:dyDescent="0.3">
      <c r="A82" s="1" t="s">
        <v>328</v>
      </c>
      <c r="B82" s="2" t="s">
        <v>769</v>
      </c>
      <c r="C82" s="2" t="s">
        <v>770</v>
      </c>
      <c r="D82" s="3">
        <v>39</v>
      </c>
      <c r="E82" s="4">
        <v>0.72254934031185303</v>
      </c>
      <c r="F82" s="4">
        <v>0.39075685654008402</v>
      </c>
      <c r="G82" s="4">
        <v>0.39481144514767902</v>
      </c>
      <c r="H82" s="4">
        <v>1.8130274261603399E-3</v>
      </c>
      <c r="I82" s="4">
        <v>0.16561181434599101</v>
      </c>
      <c r="J82" s="4">
        <v>4.02492088607595E-2</v>
      </c>
      <c r="K82" s="4">
        <v>0</v>
      </c>
      <c r="L82" s="4">
        <v>0.39560258438818602</v>
      </c>
      <c r="M82" s="4">
        <v>1.9119198312236301E-3</v>
      </c>
      <c r="N82" s="3">
        <v>3</v>
      </c>
      <c r="O82" s="3">
        <v>5</v>
      </c>
      <c r="P82" s="3">
        <v>1</v>
      </c>
      <c r="Q82" s="3">
        <v>0</v>
      </c>
    </row>
    <row r="83" spans="1:17" x14ac:dyDescent="0.3">
      <c r="A83" s="1" t="s">
        <v>333</v>
      </c>
      <c r="B83" s="2" t="s">
        <v>771</v>
      </c>
      <c r="C83" s="2" t="s">
        <v>772</v>
      </c>
      <c r="D83" s="3">
        <v>40</v>
      </c>
      <c r="E83" s="4">
        <v>0.73840582531832899</v>
      </c>
      <c r="F83" s="4">
        <v>0.54713623850130899</v>
      </c>
      <c r="G83" s="4">
        <v>0.55885315248774603</v>
      </c>
      <c r="H83" s="4">
        <v>3.05512656952931E-3</v>
      </c>
      <c r="I83" s="4">
        <v>0.21963338481165601</v>
      </c>
      <c r="J83" s="4">
        <v>7.4733096085409303E-2</v>
      </c>
      <c r="K83" s="4">
        <v>0</v>
      </c>
      <c r="L83" s="4">
        <v>0.13805143355939001</v>
      </c>
      <c r="M83" s="4">
        <v>5.6738064862687197E-3</v>
      </c>
      <c r="N83" s="3">
        <v>0</v>
      </c>
      <c r="O83" s="3">
        <v>8</v>
      </c>
      <c r="P83" s="3">
        <v>1</v>
      </c>
      <c r="Q83" s="3">
        <v>0</v>
      </c>
    </row>
    <row r="84" spans="1:17" x14ac:dyDescent="0.3">
      <c r="A84" s="1" t="s">
        <v>337</v>
      </c>
      <c r="B84" s="2" t="s">
        <v>773</v>
      </c>
      <c r="C84" s="2" t="s">
        <v>774</v>
      </c>
      <c r="D84" s="3">
        <v>41</v>
      </c>
      <c r="E84" s="4">
        <v>0.72135956506434096</v>
      </c>
      <c r="F84" s="4">
        <v>0.61457229509993805</v>
      </c>
      <c r="G84" s="4">
        <v>0.61786092739430698</v>
      </c>
      <c r="H84" s="4">
        <v>1.46161435305295E-4</v>
      </c>
      <c r="I84" s="4">
        <v>0.256294076807834</v>
      </c>
      <c r="J84" s="4">
        <v>5.5906749004275197E-2</v>
      </c>
      <c r="K84" s="4">
        <v>0</v>
      </c>
      <c r="L84" s="4">
        <v>6.6503453063909104E-2</v>
      </c>
      <c r="M84" s="4">
        <v>3.2886322943691299E-3</v>
      </c>
      <c r="N84" s="3">
        <v>4</v>
      </c>
      <c r="O84" s="3">
        <v>6</v>
      </c>
      <c r="P84" s="3">
        <v>0</v>
      </c>
      <c r="Q84" s="3">
        <v>0</v>
      </c>
    </row>
    <row r="85" spans="1:17" x14ac:dyDescent="0.3">
      <c r="A85" s="1" t="s">
        <v>339</v>
      </c>
      <c r="B85" s="2" t="s">
        <v>775</v>
      </c>
      <c r="C85" s="2" t="s">
        <v>776</v>
      </c>
      <c r="D85" s="3">
        <v>42</v>
      </c>
      <c r="E85" s="4">
        <v>0.71945540647198103</v>
      </c>
      <c r="F85" s="4">
        <v>0.55335578460387103</v>
      </c>
      <c r="G85" s="4">
        <v>0.56638432493111501</v>
      </c>
      <c r="H85" s="4">
        <v>2.0410245943463601E-4</v>
      </c>
      <c r="I85" s="4">
        <v>0.23444569173725199</v>
      </c>
      <c r="J85" s="4">
        <v>5.3576895601591998E-2</v>
      </c>
      <c r="K85" s="4">
        <v>0</v>
      </c>
      <c r="L85" s="4">
        <v>0.14028642378473999</v>
      </c>
      <c r="M85" s="4">
        <v>5.1025614858658998E-3</v>
      </c>
      <c r="N85" s="3">
        <v>1</v>
      </c>
      <c r="O85" s="3">
        <v>7</v>
      </c>
      <c r="P85" s="3">
        <v>0</v>
      </c>
      <c r="Q85" s="3">
        <v>0</v>
      </c>
    </row>
    <row r="86" spans="1:17" x14ac:dyDescent="0.3">
      <c r="A86" s="1" t="s">
        <v>342</v>
      </c>
      <c r="B86" s="2" t="s">
        <v>777</v>
      </c>
      <c r="C86" s="2" t="s">
        <v>778</v>
      </c>
      <c r="D86" s="3">
        <v>43</v>
      </c>
      <c r="E86" s="4">
        <v>0.729077167859984</v>
      </c>
      <c r="F86" s="4">
        <v>0.611363636363636</v>
      </c>
      <c r="G86" s="4">
        <v>0.61907713498622596</v>
      </c>
      <c r="H86" s="4">
        <v>0</v>
      </c>
      <c r="I86" s="4">
        <v>0.22534435261708</v>
      </c>
      <c r="J86" s="4">
        <v>1.20867768595041E-2</v>
      </c>
      <c r="K86" s="4">
        <v>0</v>
      </c>
      <c r="L86" s="4">
        <v>0.14132231404958701</v>
      </c>
      <c r="M86" s="4">
        <v>2.1694214876033001E-3</v>
      </c>
      <c r="N86" s="3">
        <v>2</v>
      </c>
      <c r="O86" s="3">
        <v>1</v>
      </c>
      <c r="P86" s="3">
        <v>0</v>
      </c>
      <c r="Q86" s="3">
        <v>0</v>
      </c>
    </row>
    <row r="87" spans="1:17" x14ac:dyDescent="0.3">
      <c r="A87" s="1" t="s">
        <v>345</v>
      </c>
      <c r="B87" s="2" t="s">
        <v>779</v>
      </c>
      <c r="C87" s="2" t="s">
        <v>780</v>
      </c>
      <c r="D87" s="3">
        <v>44</v>
      </c>
      <c r="E87" s="4">
        <v>0.70183605986773401</v>
      </c>
      <c r="F87" s="4">
        <v>0.51217732689434703</v>
      </c>
      <c r="G87" s="4">
        <v>0.53271028037383195</v>
      </c>
      <c r="H87" s="4">
        <v>2.7446756766146699E-3</v>
      </c>
      <c r="I87" s="4">
        <v>0.23548622450752199</v>
      </c>
      <c r="J87" s="4">
        <v>2.4980022930201899E-2</v>
      </c>
      <c r="K87" s="4">
        <v>0</v>
      </c>
      <c r="L87" s="4">
        <v>0.202411145467811</v>
      </c>
      <c r="M87" s="4">
        <v>1.66765104401904E-3</v>
      </c>
      <c r="N87" s="3">
        <v>2</v>
      </c>
      <c r="O87" s="3">
        <v>4</v>
      </c>
      <c r="P87" s="3">
        <v>1</v>
      </c>
      <c r="Q87" s="3">
        <v>0</v>
      </c>
    </row>
    <row r="88" spans="1:17" x14ac:dyDescent="0.3">
      <c r="A88" s="1" t="s">
        <v>350</v>
      </c>
      <c r="B88" s="2" t="s">
        <v>781</v>
      </c>
      <c r="C88" s="2" t="s">
        <v>782</v>
      </c>
      <c r="D88" s="3">
        <v>45</v>
      </c>
      <c r="E88" s="4">
        <v>0.69814265646948603</v>
      </c>
      <c r="F88" s="4">
        <v>0.56029910728991705</v>
      </c>
      <c r="G88" s="4">
        <v>0.57551800243765805</v>
      </c>
      <c r="H88" s="4">
        <v>5.6000263530651896E-4</v>
      </c>
      <c r="I88" s="4">
        <v>0.24989294067266199</v>
      </c>
      <c r="J88" s="4">
        <v>1.3308297921402E-2</v>
      </c>
      <c r="K88" s="4">
        <v>0</v>
      </c>
      <c r="L88" s="4">
        <v>0.15640544190796199</v>
      </c>
      <c r="M88" s="4">
        <v>4.3153144250090598E-3</v>
      </c>
      <c r="N88" s="3">
        <v>1</v>
      </c>
      <c r="O88" s="3">
        <v>1</v>
      </c>
      <c r="P88" s="3">
        <v>0</v>
      </c>
      <c r="Q88" s="3">
        <v>0</v>
      </c>
    </row>
    <row r="89" spans="1:17" x14ac:dyDescent="0.3">
      <c r="A89" s="1" t="s">
        <v>354</v>
      </c>
      <c r="B89" s="2" t="s">
        <v>783</v>
      </c>
      <c r="C89" s="2" t="s">
        <v>784</v>
      </c>
      <c r="D89" s="3">
        <v>46</v>
      </c>
      <c r="E89" s="4">
        <v>0.68410599234607405</v>
      </c>
      <c r="F89" s="4">
        <v>0.42891793558819602</v>
      </c>
      <c r="G89" s="4">
        <v>0.44444818757579801</v>
      </c>
      <c r="H89" s="4">
        <v>2.0212909311413601E-4</v>
      </c>
      <c r="I89" s="4">
        <v>0.21048376229618601</v>
      </c>
      <c r="J89" s="4">
        <v>3.10941921573912E-2</v>
      </c>
      <c r="K89" s="4">
        <v>0</v>
      </c>
      <c r="L89" s="4">
        <v>0.31181781431074002</v>
      </c>
      <c r="M89" s="4">
        <v>1.9539145667699801E-3</v>
      </c>
      <c r="N89" s="3">
        <v>1</v>
      </c>
      <c r="O89" s="3">
        <v>4</v>
      </c>
      <c r="P89" s="3">
        <v>0</v>
      </c>
      <c r="Q89" s="3">
        <v>0</v>
      </c>
    </row>
    <row r="90" spans="1:17" x14ac:dyDescent="0.3">
      <c r="A90" s="1" t="s">
        <v>360</v>
      </c>
      <c r="B90" s="2" t="s">
        <v>785</v>
      </c>
      <c r="C90" s="2" t="s">
        <v>786</v>
      </c>
      <c r="D90" s="3">
        <v>47</v>
      </c>
      <c r="E90" s="4">
        <v>0.64120625137574305</v>
      </c>
      <c r="F90" s="4">
        <v>9.4547987000066294E-2</v>
      </c>
      <c r="G90" s="4">
        <v>9.4547987000066294E-2</v>
      </c>
      <c r="H90" s="4">
        <v>0</v>
      </c>
      <c r="I90" s="4">
        <v>4.6428334549313499E-2</v>
      </c>
      <c r="J90" s="4">
        <v>2.05611195861246E-3</v>
      </c>
      <c r="K90" s="4">
        <v>0</v>
      </c>
      <c r="L90" s="4">
        <v>0.85225840684486298</v>
      </c>
      <c r="M90" s="4">
        <v>4.70915964714466E-3</v>
      </c>
      <c r="N90" s="3">
        <v>1</v>
      </c>
      <c r="O90" s="3">
        <v>0</v>
      </c>
      <c r="P90" s="3">
        <v>0</v>
      </c>
      <c r="Q90" s="3">
        <v>0</v>
      </c>
    </row>
    <row r="91" spans="1:17" x14ac:dyDescent="0.3">
      <c r="A91" s="1" t="s">
        <v>367</v>
      </c>
      <c r="B91" s="2" t="s">
        <v>787</v>
      </c>
      <c r="C91" s="2" t="s">
        <v>788</v>
      </c>
      <c r="D91" s="3">
        <v>48</v>
      </c>
      <c r="E91" s="4">
        <v>0.76121892672606695</v>
      </c>
      <c r="F91" s="4">
        <v>0.61021533340268397</v>
      </c>
      <c r="G91" s="4">
        <v>0.61770519088733999</v>
      </c>
      <c r="H91" s="4">
        <v>2.01116543569472E-3</v>
      </c>
      <c r="I91" s="4">
        <v>0.19428551614133599</v>
      </c>
      <c r="J91" s="4">
        <v>2.9057873019175399E-2</v>
      </c>
      <c r="K91" s="4">
        <v>0</v>
      </c>
      <c r="L91" s="4">
        <v>0.149935850757655</v>
      </c>
      <c r="M91" s="4">
        <v>7.0044037587988503E-3</v>
      </c>
      <c r="N91" s="3">
        <v>1</v>
      </c>
      <c r="O91" s="3">
        <v>5</v>
      </c>
      <c r="P91" s="3">
        <v>1</v>
      </c>
      <c r="Q91" s="3">
        <v>0</v>
      </c>
    </row>
    <row r="92" spans="1:17" x14ac:dyDescent="0.3">
      <c r="A92" s="1" t="s">
        <v>371</v>
      </c>
      <c r="B92" s="2" t="s">
        <v>789</v>
      </c>
      <c r="C92" s="2" t="s">
        <v>790</v>
      </c>
      <c r="D92" s="3">
        <v>49</v>
      </c>
      <c r="E92" s="4">
        <v>0.771724168553794</v>
      </c>
      <c r="F92" s="4">
        <v>0.51260926353863201</v>
      </c>
      <c r="G92" s="4">
        <v>0.53709099434006502</v>
      </c>
      <c r="H92" s="4">
        <v>0</v>
      </c>
      <c r="I92" s="4">
        <v>0.15596637529723001</v>
      </c>
      <c r="J92" s="4">
        <v>4.4978063565424199E-2</v>
      </c>
      <c r="K92" s="4">
        <v>0</v>
      </c>
      <c r="L92" s="4">
        <v>0.25436216886030999</v>
      </c>
      <c r="M92" s="4">
        <v>7.6023979369704304E-3</v>
      </c>
      <c r="N92" s="3">
        <v>3</v>
      </c>
      <c r="O92" s="3">
        <v>8</v>
      </c>
      <c r="P92" s="3">
        <v>0</v>
      </c>
      <c r="Q92" s="3">
        <v>1</v>
      </c>
    </row>
    <row r="93" spans="1:17" x14ac:dyDescent="0.3">
      <c r="A93" s="1" t="s">
        <v>374</v>
      </c>
      <c r="B93" s="2" t="s">
        <v>791</v>
      </c>
      <c r="C93" s="2" t="s">
        <v>792</v>
      </c>
      <c r="D93" s="3">
        <v>50</v>
      </c>
      <c r="E93" s="4">
        <v>0.70603478060578095</v>
      </c>
      <c r="F93" s="4">
        <v>0.62426796562859199</v>
      </c>
      <c r="G93" s="4">
        <v>0.62596464342400504</v>
      </c>
      <c r="H93" s="4">
        <v>0</v>
      </c>
      <c r="I93" s="4">
        <v>0.243883750205243</v>
      </c>
      <c r="J93" s="4">
        <v>4.50987904329265E-2</v>
      </c>
      <c r="K93" s="4">
        <v>0</v>
      </c>
      <c r="L93" s="4">
        <v>8.0291171802309699E-2</v>
      </c>
      <c r="M93" s="4">
        <v>4.7616441355153001E-3</v>
      </c>
      <c r="N93" s="3">
        <v>1</v>
      </c>
      <c r="O93" s="3">
        <v>4</v>
      </c>
      <c r="P93" s="3">
        <v>0</v>
      </c>
      <c r="Q93" s="3">
        <v>0</v>
      </c>
    </row>
    <row r="94" spans="1:17" x14ac:dyDescent="0.3">
      <c r="A94" s="1" t="s">
        <v>379</v>
      </c>
      <c r="B94" s="2" t="s">
        <v>793</v>
      </c>
      <c r="C94" s="2" t="s">
        <v>794</v>
      </c>
      <c r="D94" s="3">
        <v>51</v>
      </c>
      <c r="E94" s="4">
        <v>0.67540840947747305</v>
      </c>
      <c r="F94" s="4">
        <v>0.54373153085832704</v>
      </c>
      <c r="G94" s="4">
        <v>0.55762372202031196</v>
      </c>
      <c r="H94" s="4">
        <v>3.3966237559865503E-5</v>
      </c>
      <c r="I94" s="4">
        <v>0.27590774769878701</v>
      </c>
      <c r="J94" s="4">
        <v>2.2315818076831601E-2</v>
      </c>
      <c r="K94" s="4">
        <v>0</v>
      </c>
      <c r="L94" s="4">
        <v>0.141571278149519</v>
      </c>
      <c r="M94" s="4">
        <v>2.5474678169899101E-3</v>
      </c>
      <c r="N94" s="3">
        <v>2</v>
      </c>
      <c r="O94" s="3">
        <v>3</v>
      </c>
      <c r="P94" s="3">
        <v>0</v>
      </c>
      <c r="Q94" s="3">
        <v>0</v>
      </c>
    </row>
    <row r="95" spans="1:17" x14ac:dyDescent="0.3">
      <c r="A95" s="1" t="s">
        <v>381</v>
      </c>
      <c r="B95" s="2" t="s">
        <v>795</v>
      </c>
      <c r="C95" s="2" t="s">
        <v>796</v>
      </c>
      <c r="D95" s="3">
        <v>52</v>
      </c>
      <c r="E95" s="2"/>
      <c r="F95" s="2"/>
      <c r="G95" s="4">
        <v>0</v>
      </c>
      <c r="H95" s="4">
        <v>0</v>
      </c>
      <c r="I95" s="4">
        <v>1.34621209571568E-4</v>
      </c>
      <c r="J95" s="4">
        <v>0</v>
      </c>
      <c r="K95" s="4">
        <v>0</v>
      </c>
      <c r="L95" s="4">
        <v>0.99986537879042803</v>
      </c>
      <c r="M95" s="4">
        <v>0</v>
      </c>
      <c r="N95" s="2" t="s">
        <v>796</v>
      </c>
      <c r="O95" s="2" t="s">
        <v>796</v>
      </c>
      <c r="P95" s="2" t="s">
        <v>796</v>
      </c>
      <c r="Q95" s="2" t="s">
        <v>796</v>
      </c>
    </row>
    <row r="96" spans="1:17" x14ac:dyDescent="0.3">
      <c r="A96" s="1" t="s">
        <v>386</v>
      </c>
      <c r="B96" s="2" t="s">
        <v>797</v>
      </c>
      <c r="C96" s="2" t="s">
        <v>798</v>
      </c>
      <c r="D96" s="3">
        <v>53</v>
      </c>
      <c r="E96" s="4">
        <v>0.87790232185748596</v>
      </c>
      <c r="F96" s="4">
        <v>0.14431174927516199</v>
      </c>
      <c r="G96" s="4">
        <v>0.148936904597542</v>
      </c>
      <c r="H96" s="4">
        <v>0</v>
      </c>
      <c r="I96" s="4">
        <v>1.6360624050807699E-2</v>
      </c>
      <c r="J96" s="4">
        <v>2.45064199917161E-3</v>
      </c>
      <c r="K96" s="4">
        <v>0</v>
      </c>
      <c r="L96" s="4">
        <v>0.82783377053706997</v>
      </c>
      <c r="M96" s="4">
        <v>4.4180588154079797E-3</v>
      </c>
      <c r="N96" s="3">
        <v>1</v>
      </c>
      <c r="O96" s="3">
        <v>0</v>
      </c>
      <c r="P96" s="3">
        <v>0</v>
      </c>
      <c r="Q96" s="3">
        <v>0</v>
      </c>
    </row>
    <row r="97" spans="1:17" x14ac:dyDescent="0.3">
      <c r="A97" s="1" t="s">
        <v>391</v>
      </c>
      <c r="B97" s="2" t="s">
        <v>799</v>
      </c>
      <c r="C97" s="2" t="s">
        <v>800</v>
      </c>
      <c r="D97" s="3">
        <v>54</v>
      </c>
      <c r="E97" s="4">
        <v>0.68049535603715205</v>
      </c>
      <c r="F97" s="4">
        <v>0.55259293866381898</v>
      </c>
      <c r="G97" s="4">
        <v>0.56517386371220701</v>
      </c>
      <c r="H97" s="4">
        <v>5.3393846359207095E-4</v>
      </c>
      <c r="I97" s="4">
        <v>0.26326503370486498</v>
      </c>
      <c r="J97" s="4">
        <v>2.1090569311886801E-2</v>
      </c>
      <c r="K97" s="4">
        <v>0</v>
      </c>
      <c r="L97" s="4">
        <v>0.14770072749115701</v>
      </c>
      <c r="M97" s="4">
        <v>2.2358673162917999E-3</v>
      </c>
      <c r="N97" s="3">
        <v>4</v>
      </c>
      <c r="O97" s="3">
        <v>4</v>
      </c>
      <c r="P97" s="3">
        <v>0</v>
      </c>
      <c r="Q97" s="3">
        <v>0</v>
      </c>
    </row>
    <row r="98" spans="1:17" x14ac:dyDescent="0.3">
      <c r="A98" s="1" t="s">
        <v>396</v>
      </c>
      <c r="B98" s="2" t="s">
        <v>801</v>
      </c>
      <c r="C98" s="2" t="s">
        <v>802</v>
      </c>
      <c r="D98" s="3">
        <v>55</v>
      </c>
      <c r="E98" s="4">
        <v>0.70085054678007297</v>
      </c>
      <c r="F98" s="4">
        <v>0.18938817836156199</v>
      </c>
      <c r="G98" s="4">
        <v>0.19450397511233999</v>
      </c>
      <c r="H98" s="4">
        <v>5.1849291393017596E-4</v>
      </c>
      <c r="I98" s="4">
        <v>8.3961285862426502E-2</v>
      </c>
      <c r="J98" s="4">
        <v>4.35534047701348E-3</v>
      </c>
      <c r="K98" s="4">
        <v>0</v>
      </c>
      <c r="L98" s="4">
        <v>0.71596958174904901</v>
      </c>
      <c r="M98" s="4">
        <v>6.9132388524023505E-4</v>
      </c>
      <c r="N98" s="3">
        <v>0</v>
      </c>
      <c r="O98" s="3">
        <v>0</v>
      </c>
      <c r="P98" s="3">
        <v>0</v>
      </c>
      <c r="Q98" s="3">
        <v>0</v>
      </c>
    </row>
    <row r="99" spans="1:17" x14ac:dyDescent="0.3">
      <c r="A99" s="1" t="s">
        <v>400</v>
      </c>
      <c r="B99" s="2" t="s">
        <v>803</v>
      </c>
      <c r="C99" s="2" t="s">
        <v>804</v>
      </c>
      <c r="D99" s="3">
        <v>56</v>
      </c>
      <c r="E99" s="4">
        <v>0.68072235959025096</v>
      </c>
      <c r="F99" s="4">
        <v>0.47077424938419499</v>
      </c>
      <c r="G99" s="4">
        <v>0.47776446308501402</v>
      </c>
      <c r="H99" s="4">
        <v>2.39664469742361E-3</v>
      </c>
      <c r="I99" s="4">
        <v>0.23280740296917601</v>
      </c>
      <c r="J99" s="4">
        <v>3.3020438053391901E-2</v>
      </c>
      <c r="K99" s="4">
        <v>0</v>
      </c>
      <c r="L99" s="4">
        <v>0.24958391585114201</v>
      </c>
      <c r="M99" s="4">
        <v>4.4271353438519404E-3</v>
      </c>
      <c r="N99" s="3">
        <v>0</v>
      </c>
      <c r="O99" s="3">
        <v>5</v>
      </c>
      <c r="P99" s="3">
        <v>1</v>
      </c>
      <c r="Q99" s="3">
        <v>1</v>
      </c>
    </row>
    <row r="100" spans="1:17" x14ac:dyDescent="0.3">
      <c r="A100" s="1" t="s">
        <v>405</v>
      </c>
      <c r="B100" s="2" t="s">
        <v>720</v>
      </c>
      <c r="C100" s="2" t="s">
        <v>805</v>
      </c>
      <c r="D100" s="3">
        <v>57</v>
      </c>
      <c r="E100" s="4">
        <v>0.69796563462473704</v>
      </c>
      <c r="F100" s="4">
        <v>0.53862155040909698</v>
      </c>
      <c r="G100" s="4">
        <v>0.54503536264040997</v>
      </c>
      <c r="H100" s="4">
        <v>1.9761475523505799E-3</v>
      </c>
      <c r="I100" s="4">
        <v>0.251768132020524</v>
      </c>
      <c r="J100" s="4">
        <v>5.0097073914852297E-2</v>
      </c>
      <c r="K100" s="4">
        <v>0</v>
      </c>
      <c r="L100" s="4">
        <v>0.14817639717098899</v>
      </c>
      <c r="M100" s="4">
        <v>2.94688670087366E-3</v>
      </c>
      <c r="N100" s="3">
        <v>0</v>
      </c>
      <c r="O100" s="3">
        <v>6</v>
      </c>
      <c r="P100" s="3">
        <v>0</v>
      </c>
      <c r="Q100" s="3">
        <v>2</v>
      </c>
    </row>
    <row r="101" spans="1:17" x14ac:dyDescent="0.3">
      <c r="A101" s="1" t="s">
        <v>407</v>
      </c>
      <c r="B101" s="2" t="s">
        <v>806</v>
      </c>
      <c r="C101" s="2" t="s">
        <v>807</v>
      </c>
      <c r="D101" s="3">
        <v>58</v>
      </c>
      <c r="E101" s="4">
        <v>0.67621510242010396</v>
      </c>
      <c r="F101" s="4">
        <v>0.53294365856189296</v>
      </c>
      <c r="G101" s="4">
        <v>0.54141735551481995</v>
      </c>
      <c r="H101" s="4">
        <v>7.2631688167952102E-4</v>
      </c>
      <c r="I101" s="4">
        <v>0.27454778127485902</v>
      </c>
      <c r="J101" s="4">
        <v>3.6730882302078598E-2</v>
      </c>
      <c r="K101" s="4">
        <v>0</v>
      </c>
      <c r="L101" s="4">
        <v>0.14415660775429701</v>
      </c>
      <c r="M101" s="4">
        <v>2.4210562722650699E-3</v>
      </c>
      <c r="N101" s="3">
        <v>3</v>
      </c>
      <c r="O101" s="3">
        <v>8</v>
      </c>
      <c r="P101" s="3">
        <v>0</v>
      </c>
      <c r="Q101" s="3">
        <v>2</v>
      </c>
    </row>
    <row r="102" spans="1:17" x14ac:dyDescent="0.3">
      <c r="A102" s="1" t="s">
        <v>410</v>
      </c>
      <c r="B102" s="2" t="s">
        <v>808</v>
      </c>
      <c r="C102" s="2" t="s">
        <v>809</v>
      </c>
      <c r="D102" s="3">
        <v>59</v>
      </c>
      <c r="E102" s="4">
        <v>0.87051625879986605</v>
      </c>
      <c r="F102" s="4">
        <v>0.41310286360211002</v>
      </c>
      <c r="G102" s="4">
        <v>0.42214581763376002</v>
      </c>
      <c r="H102" s="4">
        <v>1.8745290128108501E-2</v>
      </c>
      <c r="I102" s="4">
        <v>4.95007535795026E-2</v>
      </c>
      <c r="J102" s="4">
        <v>4.8323285606631503E-2</v>
      </c>
      <c r="K102" s="4">
        <v>0</v>
      </c>
      <c r="L102" s="4">
        <v>0.45695177091183098</v>
      </c>
      <c r="M102" s="4">
        <v>4.3330821401657898E-3</v>
      </c>
      <c r="N102" s="3">
        <v>0</v>
      </c>
      <c r="O102" s="3">
        <v>6</v>
      </c>
      <c r="P102" s="3">
        <v>2</v>
      </c>
      <c r="Q102" s="3">
        <v>0</v>
      </c>
    </row>
    <row r="103" spans="1:17" x14ac:dyDescent="0.3">
      <c r="A103" s="1" t="s">
        <v>415</v>
      </c>
      <c r="B103" s="2" t="s">
        <v>810</v>
      </c>
      <c r="C103" s="2" t="s">
        <v>811</v>
      </c>
      <c r="D103" s="3">
        <v>60</v>
      </c>
      <c r="E103" s="4">
        <v>0.68126646797114598</v>
      </c>
      <c r="F103" s="4">
        <v>0.50483838451717</v>
      </c>
      <c r="G103" s="4">
        <v>0.51501915193871395</v>
      </c>
      <c r="H103" s="4">
        <v>1.3439956992137599E-4</v>
      </c>
      <c r="I103" s="4">
        <v>0.24420401854714099</v>
      </c>
      <c r="J103" s="4">
        <v>1.4783952691351399E-2</v>
      </c>
      <c r="K103" s="4">
        <v>0</v>
      </c>
      <c r="L103" s="4">
        <v>0.22300248639204401</v>
      </c>
      <c r="M103" s="4">
        <v>2.85599086082925E-3</v>
      </c>
      <c r="N103" s="3">
        <v>2</v>
      </c>
      <c r="O103" s="3">
        <v>1</v>
      </c>
      <c r="P103" s="3">
        <v>0</v>
      </c>
      <c r="Q103" s="3">
        <v>0</v>
      </c>
    </row>
    <row r="104" spans="1:17" x14ac:dyDescent="0.3">
      <c r="A104" s="1" t="s">
        <v>418</v>
      </c>
      <c r="B104" s="2" t="s">
        <v>812</v>
      </c>
      <c r="C104" s="2" t="s">
        <v>813</v>
      </c>
      <c r="D104" s="3">
        <v>61</v>
      </c>
      <c r="E104" s="4">
        <v>0.66398499374739495</v>
      </c>
      <c r="F104" s="4">
        <v>0.52390558805729304</v>
      </c>
      <c r="G104" s="4">
        <v>0.52800753143702495</v>
      </c>
      <c r="H104" s="4">
        <v>0</v>
      </c>
      <c r="I104" s="4">
        <v>0.26605473740837898</v>
      </c>
      <c r="J104" s="4">
        <v>7.5650595118014899E-3</v>
      </c>
      <c r="K104" s="4">
        <v>0</v>
      </c>
      <c r="L104" s="4">
        <v>0.19558200524510799</v>
      </c>
      <c r="M104" s="4">
        <v>2.79066639768677E-3</v>
      </c>
      <c r="N104" s="3">
        <v>5</v>
      </c>
      <c r="O104" s="3">
        <v>0</v>
      </c>
      <c r="P104" s="3">
        <v>0</v>
      </c>
      <c r="Q104" s="3">
        <v>0</v>
      </c>
    </row>
    <row r="105" spans="1:17" x14ac:dyDescent="0.3">
      <c r="A105" s="1" t="s">
        <v>423</v>
      </c>
      <c r="B105" s="2" t="s">
        <v>814</v>
      </c>
      <c r="C105" s="2" t="s">
        <v>815</v>
      </c>
      <c r="D105" s="3">
        <v>62</v>
      </c>
      <c r="E105" s="4">
        <v>0.79396763981709495</v>
      </c>
      <c r="F105" s="4">
        <v>0.25444780127559602</v>
      </c>
      <c r="G105" s="4">
        <v>0.27710641154749899</v>
      </c>
      <c r="H105" s="4">
        <v>0</v>
      </c>
      <c r="I105" s="4">
        <v>7.51258811681772E-2</v>
      </c>
      <c r="J105" s="4">
        <v>2.5981873111782499E-2</v>
      </c>
      <c r="K105" s="4">
        <v>0</v>
      </c>
      <c r="L105" s="4">
        <v>0.62017455521987197</v>
      </c>
      <c r="M105" s="4">
        <v>1.6112789526686799E-3</v>
      </c>
      <c r="N105" s="3">
        <v>1</v>
      </c>
      <c r="O105" s="3">
        <v>4</v>
      </c>
      <c r="P105" s="3">
        <v>0</v>
      </c>
      <c r="Q105" s="3">
        <v>1</v>
      </c>
    </row>
    <row r="106" spans="1:17" x14ac:dyDescent="0.3">
      <c r="A106" s="1" t="s">
        <v>429</v>
      </c>
      <c r="B106" s="2" t="s">
        <v>816</v>
      </c>
      <c r="C106" s="2" t="s">
        <v>817</v>
      </c>
      <c r="D106" s="3">
        <v>63</v>
      </c>
      <c r="E106" s="4">
        <v>0.71324546416076795</v>
      </c>
      <c r="F106" s="4">
        <v>0.55517503805174995</v>
      </c>
      <c r="G106" s="4">
        <v>0.56316590563165903</v>
      </c>
      <c r="H106" s="4">
        <v>0</v>
      </c>
      <c r="I106" s="4">
        <v>0.239380102393801</v>
      </c>
      <c r="J106" s="4">
        <v>4.3344402933444E-2</v>
      </c>
      <c r="K106" s="4">
        <v>0</v>
      </c>
      <c r="L106" s="4">
        <v>0.15220700152207001</v>
      </c>
      <c r="M106" s="4">
        <v>1.9025875190258801E-3</v>
      </c>
      <c r="N106" s="3">
        <v>3</v>
      </c>
      <c r="O106" s="3">
        <v>5</v>
      </c>
      <c r="P106" s="3">
        <v>0</v>
      </c>
      <c r="Q106" s="3">
        <v>1</v>
      </c>
    </row>
    <row r="107" spans="1:17" x14ac:dyDescent="0.3">
      <c r="A107" s="1" t="s">
        <v>433</v>
      </c>
      <c r="B107" s="2" t="s">
        <v>818</v>
      </c>
      <c r="C107" s="2"/>
      <c r="D107" s="3">
        <v>64</v>
      </c>
      <c r="E107" s="2"/>
      <c r="F107" s="2"/>
      <c r="G107" s="4">
        <v>0</v>
      </c>
      <c r="H107" s="4">
        <v>0</v>
      </c>
      <c r="I107" s="4">
        <v>3.0171980287639502E-4</v>
      </c>
      <c r="J107" s="4">
        <v>0</v>
      </c>
      <c r="K107" s="4">
        <v>0</v>
      </c>
      <c r="L107" s="4">
        <v>0.99969828019712303</v>
      </c>
      <c r="M107" s="4">
        <v>0</v>
      </c>
      <c r="N107" s="2" t="s">
        <v>796</v>
      </c>
      <c r="O107" s="2" t="s">
        <v>796</v>
      </c>
      <c r="P107" s="2" t="s">
        <v>796</v>
      </c>
      <c r="Q107" s="2" t="s">
        <v>796</v>
      </c>
    </row>
    <row r="108" spans="1:17" x14ac:dyDescent="0.3">
      <c r="A108" s="1" t="s">
        <v>437</v>
      </c>
      <c r="B108" s="2" t="s">
        <v>612</v>
      </c>
      <c r="C108" s="2" t="s">
        <v>819</v>
      </c>
      <c r="D108" s="3">
        <v>65</v>
      </c>
      <c r="E108" s="4">
        <v>0.67973558240255305</v>
      </c>
      <c r="F108" s="4">
        <v>0.477120667047709</v>
      </c>
      <c r="G108" s="4">
        <v>0.47967589012540801</v>
      </c>
      <c r="H108" s="4">
        <v>1.0758834011364001E-3</v>
      </c>
      <c r="I108" s="4">
        <v>0.23333221262145701</v>
      </c>
      <c r="J108" s="4">
        <v>2.0542648690448199E-2</v>
      </c>
      <c r="K108" s="4">
        <v>0</v>
      </c>
      <c r="L108" s="4">
        <v>0.26278452072756597</v>
      </c>
      <c r="M108" s="4">
        <v>2.5888444339844702E-3</v>
      </c>
      <c r="N108" s="3">
        <v>3</v>
      </c>
      <c r="O108" s="3">
        <v>3</v>
      </c>
      <c r="P108" s="3">
        <v>1</v>
      </c>
      <c r="Q108" s="3">
        <v>0</v>
      </c>
    </row>
    <row r="109" spans="1:17" x14ac:dyDescent="0.3">
      <c r="A109" s="1" t="s">
        <v>440</v>
      </c>
      <c r="B109" s="2" t="s">
        <v>820</v>
      </c>
      <c r="C109" s="2" t="s">
        <v>821</v>
      </c>
      <c r="D109" s="3">
        <v>66</v>
      </c>
      <c r="E109" s="4">
        <v>0.73349116736477904</v>
      </c>
      <c r="F109" s="4">
        <v>0.61917030852521004</v>
      </c>
      <c r="G109" s="4">
        <v>0.62725849585806503</v>
      </c>
      <c r="H109" s="4">
        <v>8.80568782205988E-4</v>
      </c>
      <c r="I109" s="4">
        <v>0.23256799947818099</v>
      </c>
      <c r="J109" s="4">
        <v>2.86347922509947E-2</v>
      </c>
      <c r="K109" s="4">
        <v>0</v>
      </c>
      <c r="L109" s="4">
        <v>0.105244276302916</v>
      </c>
      <c r="M109" s="4">
        <v>5.4138673276368102E-3</v>
      </c>
      <c r="N109" s="3">
        <v>4</v>
      </c>
      <c r="O109" s="3">
        <v>4</v>
      </c>
      <c r="P109" s="3">
        <v>0</v>
      </c>
      <c r="Q109" s="3">
        <v>1</v>
      </c>
    </row>
    <row r="110" spans="1:17" x14ac:dyDescent="0.3">
      <c r="A110" s="1" t="s">
        <v>444</v>
      </c>
      <c r="B110" s="2" t="s">
        <v>822</v>
      </c>
      <c r="C110" s="2" t="s">
        <v>823</v>
      </c>
      <c r="D110" s="3">
        <v>67</v>
      </c>
      <c r="E110" s="4">
        <v>0.71079305870904996</v>
      </c>
      <c r="F110" s="4">
        <v>0.55305265350039901</v>
      </c>
      <c r="G110" s="4">
        <v>0.56457602998854595</v>
      </c>
      <c r="H110" s="4">
        <v>3.4708965325743603E-5</v>
      </c>
      <c r="I110" s="4">
        <v>0.24383048141334901</v>
      </c>
      <c r="J110" s="4">
        <v>4.3872132171739998E-2</v>
      </c>
      <c r="K110" s="4">
        <v>0</v>
      </c>
      <c r="L110" s="4">
        <v>0.14452813161639599</v>
      </c>
      <c r="M110" s="4">
        <v>3.1585158446426698E-3</v>
      </c>
      <c r="N110" s="3">
        <v>1</v>
      </c>
      <c r="O110" s="3">
        <v>7</v>
      </c>
      <c r="P110" s="3">
        <v>0</v>
      </c>
      <c r="Q110" s="3">
        <v>0</v>
      </c>
    </row>
    <row r="111" spans="1:17" x14ac:dyDescent="0.3">
      <c r="A111" s="1" t="s">
        <v>446</v>
      </c>
      <c r="B111" s="2" t="s">
        <v>824</v>
      </c>
      <c r="C111" s="2" t="s">
        <v>825</v>
      </c>
      <c r="D111" s="3">
        <v>68</v>
      </c>
      <c r="E111" s="4">
        <v>0.70349857638753499</v>
      </c>
      <c r="F111" s="4">
        <v>0.56195374478956595</v>
      </c>
      <c r="G111" s="4">
        <v>0.56595401371520804</v>
      </c>
      <c r="H111" s="4">
        <v>1.3446282102998501E-4</v>
      </c>
      <c r="I111" s="4">
        <v>0.25248756218905499</v>
      </c>
      <c r="J111" s="4">
        <v>4.0237999193223101E-2</v>
      </c>
      <c r="K111" s="4">
        <v>0</v>
      </c>
      <c r="L111" s="4">
        <v>0.13849670566088501</v>
      </c>
      <c r="M111" s="4">
        <v>2.6892564205997001E-3</v>
      </c>
      <c r="N111" s="3">
        <v>3</v>
      </c>
      <c r="O111" s="3">
        <v>6</v>
      </c>
      <c r="P111" s="3">
        <v>0</v>
      </c>
      <c r="Q111" s="3">
        <v>0</v>
      </c>
    </row>
    <row r="112" spans="1:17" x14ac:dyDescent="0.3">
      <c r="A112" s="1" t="s">
        <v>450</v>
      </c>
      <c r="B112" s="2" t="s">
        <v>826</v>
      </c>
      <c r="C112" s="2" t="s">
        <v>827</v>
      </c>
      <c r="D112" s="3">
        <v>69</v>
      </c>
      <c r="E112" s="4">
        <v>0.73491531404375399</v>
      </c>
      <c r="F112" s="4">
        <v>0.48780077967468699</v>
      </c>
      <c r="G112" s="4">
        <v>0.50467132679123505</v>
      </c>
      <c r="H112" s="4">
        <v>7.79674687457992E-3</v>
      </c>
      <c r="I112" s="4">
        <v>0.19612851189676</v>
      </c>
      <c r="J112" s="4">
        <v>4.74862212662992E-2</v>
      </c>
      <c r="K112" s="4">
        <v>0</v>
      </c>
      <c r="L112" s="4">
        <v>0.24092619975803201</v>
      </c>
      <c r="M112" s="4">
        <v>2.9909934130931599E-3</v>
      </c>
      <c r="N112" s="3">
        <v>2</v>
      </c>
      <c r="O112" s="3">
        <v>6</v>
      </c>
      <c r="P112" s="3">
        <v>1</v>
      </c>
      <c r="Q112" s="3">
        <v>2</v>
      </c>
    </row>
    <row r="113" spans="1:17" x14ac:dyDescent="0.3">
      <c r="A113" s="1" t="s">
        <v>454</v>
      </c>
      <c r="B113" s="2" t="s">
        <v>828</v>
      </c>
      <c r="C113" s="2" t="s">
        <v>829</v>
      </c>
      <c r="D113" s="3">
        <v>70</v>
      </c>
      <c r="E113" s="4">
        <v>0.70334218335155396</v>
      </c>
      <c r="F113" s="4">
        <v>0.55414762032804499</v>
      </c>
      <c r="G113" s="4">
        <v>0.56332347405216399</v>
      </c>
      <c r="H113" s="4">
        <v>1.1091691314869599E-3</v>
      </c>
      <c r="I113" s="4">
        <v>0.245899435332078</v>
      </c>
      <c r="J113" s="4">
        <v>4.1039257865017498E-2</v>
      </c>
      <c r="K113" s="4">
        <v>0</v>
      </c>
      <c r="L113" s="4">
        <v>0.14059559021242299</v>
      </c>
      <c r="M113" s="4">
        <v>8.0330734068297903E-3</v>
      </c>
      <c r="N113" s="3">
        <v>3</v>
      </c>
      <c r="O113" s="3">
        <v>7</v>
      </c>
      <c r="P113" s="3">
        <v>1</v>
      </c>
      <c r="Q113" s="3">
        <v>0</v>
      </c>
    </row>
    <row r="114" spans="1:17" x14ac:dyDescent="0.3">
      <c r="A114" s="1" t="s">
        <v>457</v>
      </c>
      <c r="B114" s="2" t="s">
        <v>830</v>
      </c>
      <c r="C114" s="2" t="s">
        <v>831</v>
      </c>
      <c r="D114" s="3">
        <v>71</v>
      </c>
      <c r="E114" s="4">
        <v>0.74219097264314904</v>
      </c>
      <c r="F114" s="4">
        <v>0.58651553374572396</v>
      </c>
      <c r="G114" s="4">
        <v>0.59615716902235905</v>
      </c>
      <c r="H114" s="4">
        <v>6.9115665065487103E-5</v>
      </c>
      <c r="I114" s="4">
        <v>0.21750699796108799</v>
      </c>
      <c r="J114" s="4">
        <v>3.8497425441476302E-2</v>
      </c>
      <c r="K114" s="4">
        <v>0</v>
      </c>
      <c r="L114" s="4">
        <v>0.145661264125514</v>
      </c>
      <c r="M114" s="4">
        <v>2.10802778449736E-3</v>
      </c>
      <c r="N114" s="3">
        <v>2</v>
      </c>
      <c r="O114" s="3">
        <v>6</v>
      </c>
      <c r="P114" s="3">
        <v>0</v>
      </c>
      <c r="Q114" s="3">
        <v>0</v>
      </c>
    </row>
    <row r="115" spans="1:17" x14ac:dyDescent="0.3">
      <c r="A115" s="1" t="s">
        <v>461</v>
      </c>
      <c r="B115" s="2" t="s">
        <v>832</v>
      </c>
      <c r="C115" s="2" t="s">
        <v>833</v>
      </c>
      <c r="D115" s="3">
        <v>72</v>
      </c>
      <c r="E115" s="4">
        <v>0.75727312201476304</v>
      </c>
      <c r="F115" s="4">
        <v>0.58165871362322696</v>
      </c>
      <c r="G115" s="4">
        <v>0.591572014248269</v>
      </c>
      <c r="H115" s="4">
        <v>3.0243968008602699E-4</v>
      </c>
      <c r="I115" s="4">
        <v>0.203609113515693</v>
      </c>
      <c r="J115" s="4">
        <v>5.2792526379460997E-2</v>
      </c>
      <c r="K115" s="4">
        <v>0</v>
      </c>
      <c r="L115" s="4">
        <v>0.14906915787351299</v>
      </c>
      <c r="M115" s="4">
        <v>2.65474830297735E-3</v>
      </c>
      <c r="N115" s="3">
        <v>3</v>
      </c>
      <c r="O115" s="3">
        <v>9</v>
      </c>
      <c r="P115" s="3">
        <v>0</v>
      </c>
      <c r="Q115" s="3">
        <v>4</v>
      </c>
    </row>
    <row r="116" spans="1:17" x14ac:dyDescent="0.3">
      <c r="A116" s="1" t="s">
        <v>464</v>
      </c>
      <c r="B116" s="2" t="s">
        <v>733</v>
      </c>
      <c r="C116" s="2" t="s">
        <v>834</v>
      </c>
      <c r="D116" s="3">
        <v>73</v>
      </c>
      <c r="E116" s="4">
        <v>0.73745236357739397</v>
      </c>
      <c r="F116" s="4">
        <v>0.59073251942286398</v>
      </c>
      <c r="G116" s="4">
        <v>0.60477941176470595</v>
      </c>
      <c r="H116" s="4">
        <v>1.3873473917868999E-4</v>
      </c>
      <c r="I116" s="4">
        <v>0.21885405105438399</v>
      </c>
      <c r="J116" s="4">
        <v>2.59780799112098E-2</v>
      </c>
      <c r="K116" s="4">
        <v>0</v>
      </c>
      <c r="L116" s="4">
        <v>0.145255271920089</v>
      </c>
      <c r="M116" s="4">
        <v>4.9944506104328502E-3</v>
      </c>
      <c r="N116" s="3">
        <v>2</v>
      </c>
      <c r="O116" s="3">
        <v>4</v>
      </c>
      <c r="P116" s="3">
        <v>0</v>
      </c>
      <c r="Q116" s="3">
        <v>0</v>
      </c>
    </row>
    <row r="117" spans="1:17" x14ac:dyDescent="0.3">
      <c r="A117" s="1" t="s">
        <v>466</v>
      </c>
      <c r="B117" s="2" t="s">
        <v>835</v>
      </c>
      <c r="C117" s="2" t="s">
        <v>836</v>
      </c>
      <c r="D117" s="3">
        <v>74</v>
      </c>
      <c r="E117" s="4">
        <v>0.72636019216498104</v>
      </c>
      <c r="F117" s="4">
        <v>0.58640692060085797</v>
      </c>
      <c r="G117" s="4">
        <v>0.58717811158798305</v>
      </c>
      <c r="H117" s="4">
        <v>1.5088519313304701E-3</v>
      </c>
      <c r="I117" s="4">
        <v>0.23226260729613701</v>
      </c>
      <c r="J117" s="4">
        <v>3.4871244635193102E-2</v>
      </c>
      <c r="K117" s="4">
        <v>0</v>
      </c>
      <c r="L117" s="4">
        <v>0.14277092274678099</v>
      </c>
      <c r="M117" s="4">
        <v>1.4082618025751099E-3</v>
      </c>
      <c r="N117" s="3">
        <v>4</v>
      </c>
      <c r="O117" s="3">
        <v>4</v>
      </c>
      <c r="P117" s="3">
        <v>1</v>
      </c>
      <c r="Q117" s="3">
        <v>0</v>
      </c>
    </row>
    <row r="118" spans="1:17" x14ac:dyDescent="0.3">
      <c r="A118" s="1" t="s">
        <v>468</v>
      </c>
      <c r="B118" s="2" t="s">
        <v>837</v>
      </c>
      <c r="C118" s="2" t="s">
        <v>838</v>
      </c>
      <c r="D118" s="3">
        <v>75</v>
      </c>
      <c r="E118" s="4">
        <v>0.68830697224015502</v>
      </c>
      <c r="F118" s="4">
        <v>0.54653369681493502</v>
      </c>
      <c r="G118" s="4">
        <v>0.54957037854998403</v>
      </c>
      <c r="H118" s="4">
        <v>4.8310845784878698E-4</v>
      </c>
      <c r="I118" s="4">
        <v>0.26067152075640998</v>
      </c>
      <c r="J118" s="4">
        <v>3.8614168880913798E-2</v>
      </c>
      <c r="K118" s="4">
        <v>0</v>
      </c>
      <c r="L118" s="4">
        <v>0.149107974740329</v>
      </c>
      <c r="M118" s="4">
        <v>1.55284861451396E-3</v>
      </c>
      <c r="N118" s="3">
        <v>2</v>
      </c>
      <c r="O118" s="3">
        <v>6</v>
      </c>
      <c r="P118" s="3">
        <v>0</v>
      </c>
      <c r="Q118" s="3">
        <v>2</v>
      </c>
    </row>
    <row r="119" spans="1:17" x14ac:dyDescent="0.3">
      <c r="A119" s="1" t="s">
        <v>472</v>
      </c>
      <c r="B119" s="2" t="s">
        <v>839</v>
      </c>
      <c r="C119" s="2" t="s">
        <v>840</v>
      </c>
      <c r="D119" s="3">
        <v>76</v>
      </c>
      <c r="E119" s="4">
        <v>0.69671365489130399</v>
      </c>
      <c r="F119" s="4">
        <v>0.53238796723342696</v>
      </c>
      <c r="G119" s="4">
        <v>0.55586149927720796</v>
      </c>
      <c r="H119" s="4">
        <v>6.8837337371790503E-5</v>
      </c>
      <c r="I119" s="4">
        <v>0.24199765953052901</v>
      </c>
      <c r="J119" s="4">
        <v>8.8455978522750701E-3</v>
      </c>
      <c r="K119" s="4">
        <v>0</v>
      </c>
      <c r="L119" s="4">
        <v>0.19126454188752001</v>
      </c>
      <c r="M119" s="4">
        <v>1.9618641150960302E-3</v>
      </c>
      <c r="N119" s="3">
        <v>1</v>
      </c>
      <c r="O119" s="3">
        <v>0</v>
      </c>
      <c r="P119" s="3">
        <v>0</v>
      </c>
      <c r="Q119" s="3">
        <v>0</v>
      </c>
    </row>
    <row r="120" spans="1:17" x14ac:dyDescent="0.3">
      <c r="A120" s="1" t="s">
        <v>476</v>
      </c>
      <c r="B120" s="2" t="s">
        <v>841</v>
      </c>
      <c r="C120" s="2" t="s">
        <v>842</v>
      </c>
      <c r="D120" s="3">
        <v>77</v>
      </c>
      <c r="E120" s="4">
        <v>0.71026490066225201</v>
      </c>
      <c r="F120" s="4">
        <v>0.47020989660776702</v>
      </c>
      <c r="G120" s="4">
        <v>0.48556312458937001</v>
      </c>
      <c r="H120" s="4">
        <v>1.95027490577129E-2</v>
      </c>
      <c r="I120" s="4">
        <v>0.209827449081918</v>
      </c>
      <c r="J120" s="4">
        <v>5.81970330924306E-2</v>
      </c>
      <c r="K120" s="4">
        <v>0</v>
      </c>
      <c r="L120" s="4">
        <v>0.21912929216086299</v>
      </c>
      <c r="M120" s="4">
        <v>7.7803520177046198E-3</v>
      </c>
      <c r="N120" s="3">
        <v>1</v>
      </c>
      <c r="O120" s="3">
        <v>7</v>
      </c>
      <c r="P120" s="3">
        <v>3</v>
      </c>
      <c r="Q120" s="3">
        <v>2</v>
      </c>
    </row>
    <row r="121" spans="1:17" x14ac:dyDescent="0.3">
      <c r="A121" s="1" t="s">
        <v>481</v>
      </c>
      <c r="B121" s="2" t="s">
        <v>843</v>
      </c>
      <c r="C121" s="2" t="s">
        <v>844</v>
      </c>
      <c r="D121" s="3">
        <v>78</v>
      </c>
      <c r="E121" s="4">
        <v>0.69223773182015902</v>
      </c>
      <c r="F121" s="4">
        <v>0.54633099407235797</v>
      </c>
      <c r="G121" s="4">
        <v>0.56847448388635302</v>
      </c>
      <c r="H121" s="4">
        <v>0</v>
      </c>
      <c r="I121" s="4">
        <v>0.25962390134223601</v>
      </c>
      <c r="J121" s="4">
        <v>2.79007971656333E-2</v>
      </c>
      <c r="K121" s="4">
        <v>0</v>
      </c>
      <c r="L121" s="4">
        <v>0.140560059957757</v>
      </c>
      <c r="M121" s="4">
        <v>3.44075764802071E-3</v>
      </c>
      <c r="N121" s="3">
        <v>0</v>
      </c>
      <c r="O121" s="3">
        <v>2</v>
      </c>
      <c r="P121" s="3">
        <v>0</v>
      </c>
      <c r="Q121" s="3">
        <v>0</v>
      </c>
    </row>
    <row r="122" spans="1:17" x14ac:dyDescent="0.3">
      <c r="A122" s="1" t="s">
        <v>484</v>
      </c>
      <c r="B122" s="2" t="s">
        <v>845</v>
      </c>
      <c r="C122" s="2" t="s">
        <v>846</v>
      </c>
      <c r="D122" s="3">
        <v>79</v>
      </c>
      <c r="E122" s="4">
        <v>0.74489611562782299</v>
      </c>
      <c r="F122" s="4">
        <v>0.38820416638756799</v>
      </c>
      <c r="G122" s="4">
        <v>0.38914193850894202</v>
      </c>
      <c r="H122" s="4">
        <v>0</v>
      </c>
      <c r="I122" s="4">
        <v>0.13614441690669199</v>
      </c>
      <c r="J122" s="4">
        <v>2.5118896108245699E-2</v>
      </c>
      <c r="K122" s="4">
        <v>0</v>
      </c>
      <c r="L122" s="4">
        <v>0.44832205773996903</v>
      </c>
      <c r="M122" s="4">
        <v>1.27269073615112E-3</v>
      </c>
      <c r="N122" s="3">
        <v>2</v>
      </c>
      <c r="O122" s="3">
        <v>3</v>
      </c>
      <c r="P122" s="3">
        <v>0</v>
      </c>
      <c r="Q122" s="3">
        <v>0</v>
      </c>
    </row>
    <row r="123" spans="1:17" x14ac:dyDescent="0.3">
      <c r="A123" s="1" t="s">
        <v>488</v>
      </c>
      <c r="B123" s="2" t="s">
        <v>847</v>
      </c>
      <c r="C123" s="2" t="s">
        <v>848</v>
      </c>
      <c r="D123" s="3">
        <v>80</v>
      </c>
      <c r="E123" s="4">
        <v>0.73147058823529398</v>
      </c>
      <c r="F123" s="4">
        <v>0.40277584042404802</v>
      </c>
      <c r="G123" s="4">
        <v>0.41396987027479398</v>
      </c>
      <c r="H123" s="4">
        <v>2.4410656995396801E-4</v>
      </c>
      <c r="I123" s="4">
        <v>0.15385688380527299</v>
      </c>
      <c r="J123" s="4">
        <v>1.94239084949086E-2</v>
      </c>
      <c r="K123" s="4">
        <v>0</v>
      </c>
      <c r="L123" s="4">
        <v>0.40818105733017102</v>
      </c>
      <c r="M123" s="4">
        <v>4.3241735248988698E-3</v>
      </c>
      <c r="N123" s="3">
        <v>1</v>
      </c>
      <c r="O123" s="3">
        <v>1</v>
      </c>
      <c r="P123" s="3">
        <v>0</v>
      </c>
      <c r="Q123" s="3">
        <v>0</v>
      </c>
    </row>
    <row r="124" spans="1:17" x14ac:dyDescent="0.3">
      <c r="A124" s="1" t="s">
        <v>494</v>
      </c>
      <c r="B124" s="2" t="s">
        <v>849</v>
      </c>
      <c r="C124" s="2" t="s">
        <v>850</v>
      </c>
      <c r="D124" s="3">
        <v>81</v>
      </c>
      <c r="E124" s="4">
        <v>0.74915890775369698</v>
      </c>
      <c r="F124" s="4">
        <v>0.54352584610203702</v>
      </c>
      <c r="G124" s="4">
        <v>0.57595554807206595</v>
      </c>
      <c r="H124" s="4">
        <v>6.7351405960599405E-5</v>
      </c>
      <c r="I124" s="4">
        <v>0.208823034180839</v>
      </c>
      <c r="J124" s="4">
        <v>6.8866812594712903E-2</v>
      </c>
      <c r="K124" s="4">
        <v>0</v>
      </c>
      <c r="L124" s="4">
        <v>0.141404276814278</v>
      </c>
      <c r="M124" s="4">
        <v>4.8829769321434603E-3</v>
      </c>
      <c r="N124" s="3">
        <v>1</v>
      </c>
      <c r="O124" s="3">
        <v>10</v>
      </c>
      <c r="P124" s="3">
        <v>0</v>
      </c>
      <c r="Q124" s="3">
        <v>0</v>
      </c>
    </row>
    <row r="125" spans="1:17" x14ac:dyDescent="0.3">
      <c r="A125" s="1" t="s">
        <v>495</v>
      </c>
      <c r="B125" s="2" t="s">
        <v>851</v>
      </c>
      <c r="C125" s="2" t="s">
        <v>852</v>
      </c>
      <c r="D125" s="3">
        <v>82</v>
      </c>
      <c r="E125" s="4">
        <v>0.481106759501015</v>
      </c>
      <c r="F125" s="4">
        <v>0.28371986821932998</v>
      </c>
      <c r="G125" s="4">
        <v>0.310467429950745</v>
      </c>
      <c r="H125" s="4">
        <v>1.9571386632742899E-3</v>
      </c>
      <c r="I125" s="4">
        <v>0.44612975829337498</v>
      </c>
      <c r="J125" s="4">
        <v>0.120331408813648</v>
      </c>
      <c r="K125" s="4">
        <v>0</v>
      </c>
      <c r="L125" s="4">
        <v>0.10891476661121401</v>
      </c>
      <c r="M125" s="4">
        <v>1.2199497667743101E-2</v>
      </c>
      <c r="N125" s="3">
        <v>0</v>
      </c>
      <c r="O125" s="3">
        <v>13</v>
      </c>
      <c r="P125" s="3">
        <v>0</v>
      </c>
      <c r="Q125" s="3">
        <v>2</v>
      </c>
    </row>
    <row r="126" spans="1:17" x14ac:dyDescent="0.3">
      <c r="A126" s="1" t="s">
        <v>498</v>
      </c>
      <c r="B126" s="2" t="s">
        <v>853</v>
      </c>
      <c r="C126" s="2" t="s">
        <v>854</v>
      </c>
      <c r="D126" s="3">
        <v>83</v>
      </c>
      <c r="E126" s="4">
        <v>0.72348028743445303</v>
      </c>
      <c r="F126" s="4">
        <v>0.56196890539434796</v>
      </c>
      <c r="G126" s="4">
        <v>0.56445521495562401</v>
      </c>
      <c r="H126" s="4">
        <v>2.92692138226223E-3</v>
      </c>
      <c r="I126" s="4">
        <v>0.217378989110593</v>
      </c>
      <c r="J126" s="4">
        <v>1.8820419210675399E-2</v>
      </c>
      <c r="K126" s="4">
        <v>0</v>
      </c>
      <c r="L126" s="4">
        <v>0.191666142128784</v>
      </c>
      <c r="M126" s="4">
        <v>4.75231321206017E-3</v>
      </c>
      <c r="N126" s="3">
        <v>1</v>
      </c>
      <c r="O126" s="3">
        <v>2</v>
      </c>
      <c r="P126" s="3">
        <v>1</v>
      </c>
      <c r="Q126" s="3">
        <v>0</v>
      </c>
    </row>
    <row r="127" spans="1:17" x14ac:dyDescent="0.3">
      <c r="A127" s="1" t="s">
        <v>502</v>
      </c>
      <c r="B127" s="2" t="s">
        <v>855</v>
      </c>
      <c r="C127" s="2" t="s">
        <v>856</v>
      </c>
      <c r="D127" s="3">
        <v>84</v>
      </c>
      <c r="E127" s="4">
        <v>0.73116918844566703</v>
      </c>
      <c r="F127" s="4">
        <v>0.40332201825791802</v>
      </c>
      <c r="G127" s="4">
        <v>0.406321062518538</v>
      </c>
      <c r="H127" s="4">
        <v>3.2956530336486201E-5</v>
      </c>
      <c r="I127" s="4">
        <v>0.15772995419042299</v>
      </c>
      <c r="J127" s="4">
        <v>3.1605312592690199E-2</v>
      </c>
      <c r="K127" s="4">
        <v>0</v>
      </c>
      <c r="L127" s="4">
        <v>0.40302540948488902</v>
      </c>
      <c r="M127" s="4">
        <v>1.28530468312296E-3</v>
      </c>
      <c r="N127" s="3">
        <v>0</v>
      </c>
      <c r="O127" s="3">
        <v>5</v>
      </c>
      <c r="P127" s="3">
        <v>0</v>
      </c>
      <c r="Q127" s="3">
        <v>0</v>
      </c>
    </row>
    <row r="128" spans="1:17" x14ac:dyDescent="0.3">
      <c r="A128" s="1" t="s">
        <v>507</v>
      </c>
      <c r="B128" s="2" t="s">
        <v>857</v>
      </c>
      <c r="C128" s="2" t="s">
        <v>858</v>
      </c>
      <c r="D128" s="3">
        <v>85</v>
      </c>
      <c r="E128" s="4">
        <v>0.71045601537235803</v>
      </c>
      <c r="F128" s="4">
        <v>0.43796610169491501</v>
      </c>
      <c r="G128" s="4">
        <v>0.466440677966102</v>
      </c>
      <c r="H128" s="4">
        <v>6.5084745762711898E-3</v>
      </c>
      <c r="I128" s="4">
        <v>0.20183050847457601</v>
      </c>
      <c r="J128" s="4">
        <v>4.0915254237288097E-2</v>
      </c>
      <c r="K128" s="4">
        <v>0</v>
      </c>
      <c r="L128" s="4">
        <v>0.280271186440678</v>
      </c>
      <c r="M128" s="4">
        <v>4.0338983050847398E-3</v>
      </c>
      <c r="N128" s="3">
        <v>0</v>
      </c>
      <c r="O128" s="3">
        <v>6</v>
      </c>
      <c r="P128" s="3">
        <v>1</v>
      </c>
      <c r="Q128" s="3">
        <v>1</v>
      </c>
    </row>
    <row r="129" spans="1:17" x14ac:dyDescent="0.3">
      <c r="A129" s="1" t="s">
        <v>511</v>
      </c>
      <c r="B129" s="2" t="s">
        <v>859</v>
      </c>
      <c r="C129" s="2" t="s">
        <v>860</v>
      </c>
      <c r="D129" s="3">
        <v>86</v>
      </c>
      <c r="E129" s="4">
        <v>0.688887158321003</v>
      </c>
      <c r="F129" s="4">
        <v>0.55581995508931903</v>
      </c>
      <c r="G129" s="4">
        <v>0.55970774541676405</v>
      </c>
      <c r="H129" s="4">
        <v>6.03277809431243E-4</v>
      </c>
      <c r="I129" s="4">
        <v>0.24472969802594099</v>
      </c>
      <c r="J129" s="4">
        <v>3.26440325770017E-2</v>
      </c>
      <c r="K129" s="4">
        <v>0</v>
      </c>
      <c r="L129" s="4">
        <v>0.159935650366994</v>
      </c>
      <c r="M129" s="4">
        <v>2.3795958038676799E-3</v>
      </c>
      <c r="N129" s="3">
        <v>4</v>
      </c>
      <c r="O129" s="3">
        <v>4</v>
      </c>
      <c r="P129" s="3">
        <v>0</v>
      </c>
      <c r="Q129" s="3">
        <v>0</v>
      </c>
    </row>
    <row r="130" spans="1:17" x14ac:dyDescent="0.3">
      <c r="A130" s="1" t="s">
        <v>515</v>
      </c>
      <c r="B130" s="2" t="s">
        <v>614</v>
      </c>
      <c r="C130" s="2" t="s">
        <v>861</v>
      </c>
      <c r="D130" s="3">
        <v>87</v>
      </c>
      <c r="E130" s="4">
        <v>0.78143757503001199</v>
      </c>
      <c r="F130" s="4">
        <v>0.326035781544256</v>
      </c>
      <c r="G130" s="4">
        <v>0.34315308044121601</v>
      </c>
      <c r="H130" s="4">
        <v>1.0088781275222E-3</v>
      </c>
      <c r="I130" s="4">
        <v>8.7772397094431007E-2</v>
      </c>
      <c r="J130" s="4">
        <v>6.0868980360505804E-3</v>
      </c>
      <c r="K130" s="4">
        <v>0</v>
      </c>
      <c r="L130" s="4">
        <v>0.55612725316115097</v>
      </c>
      <c r="M130" s="4">
        <v>5.8514931396287297E-3</v>
      </c>
      <c r="N130" s="3">
        <v>0</v>
      </c>
      <c r="O130" s="3">
        <v>0</v>
      </c>
      <c r="P130" s="3">
        <v>0</v>
      </c>
      <c r="Q130" s="3">
        <v>0</v>
      </c>
    </row>
    <row r="131" spans="1:17" x14ac:dyDescent="0.3">
      <c r="A131" s="1" t="s">
        <v>520</v>
      </c>
      <c r="B131" s="2" t="s">
        <v>862</v>
      </c>
      <c r="C131" s="2" t="s">
        <v>863</v>
      </c>
      <c r="D131" s="3">
        <v>88</v>
      </c>
      <c r="E131" s="4">
        <v>0.73028798411122098</v>
      </c>
      <c r="F131" s="4">
        <v>0.57404190086867701</v>
      </c>
      <c r="G131" s="4">
        <v>0.58286492931357503</v>
      </c>
      <c r="H131" s="4">
        <v>3.4065746891500599E-5</v>
      </c>
      <c r="I131" s="4">
        <v>0.229024016351558</v>
      </c>
      <c r="J131" s="4">
        <v>4.3399761539771799E-2</v>
      </c>
      <c r="K131" s="4">
        <v>0</v>
      </c>
      <c r="L131" s="4">
        <v>0.142769545222279</v>
      </c>
      <c r="M131" s="4">
        <v>1.90768182592403E-3</v>
      </c>
      <c r="N131" s="3">
        <v>4</v>
      </c>
      <c r="O131" s="3">
        <v>4</v>
      </c>
      <c r="P131" s="3">
        <v>0</v>
      </c>
      <c r="Q131" s="3">
        <v>2</v>
      </c>
    </row>
    <row r="132" spans="1:17" x14ac:dyDescent="0.3">
      <c r="A132" s="1" t="s">
        <v>523</v>
      </c>
      <c r="B132" s="2" t="s">
        <v>864</v>
      </c>
      <c r="C132" s="2" t="s">
        <v>865</v>
      </c>
      <c r="D132" s="3">
        <v>89</v>
      </c>
      <c r="E132" s="4">
        <v>0.69058748052424201</v>
      </c>
      <c r="F132" s="4">
        <v>0.45359037481363301</v>
      </c>
      <c r="G132" s="4">
        <v>0.48354772719392503</v>
      </c>
      <c r="H132" s="4">
        <v>8.2521410492007903E-3</v>
      </c>
      <c r="I132" s="4">
        <v>0.230227800700392</v>
      </c>
      <c r="J132" s="4">
        <v>3.0720155334419699E-2</v>
      </c>
      <c r="K132" s="4">
        <v>0</v>
      </c>
      <c r="L132" s="4">
        <v>0.24392358101314099</v>
      </c>
      <c r="M132" s="4">
        <v>3.3285947089213299E-3</v>
      </c>
      <c r="N132" s="3">
        <v>1</v>
      </c>
      <c r="O132" s="3">
        <v>6</v>
      </c>
      <c r="P132" s="3">
        <v>1</v>
      </c>
      <c r="Q132" s="3">
        <v>0</v>
      </c>
    </row>
    <row r="133" spans="1:17" x14ac:dyDescent="0.3">
      <c r="A133" s="1" t="s">
        <v>526</v>
      </c>
      <c r="B133" s="2" t="s">
        <v>682</v>
      </c>
      <c r="C133" s="2" t="s">
        <v>866</v>
      </c>
      <c r="D133" s="3">
        <v>90</v>
      </c>
      <c r="E133" s="4">
        <v>0.73925523661753301</v>
      </c>
      <c r="F133" s="4">
        <v>0.29689998979140397</v>
      </c>
      <c r="G133" s="4">
        <v>0.30159594378466698</v>
      </c>
      <c r="H133" s="4">
        <v>0</v>
      </c>
      <c r="I133" s="4">
        <v>9.0992615782488906E-2</v>
      </c>
      <c r="J133" s="4">
        <v>2.2663082315309498E-2</v>
      </c>
      <c r="K133" s="4">
        <v>0</v>
      </c>
      <c r="L133" s="4">
        <v>0.56419505223398103</v>
      </c>
      <c r="M133" s="4">
        <v>2.0553305883554002E-2</v>
      </c>
      <c r="N133" s="3">
        <v>1</v>
      </c>
      <c r="O133" s="3">
        <v>4</v>
      </c>
      <c r="P133" s="3">
        <v>0</v>
      </c>
      <c r="Q133" s="3">
        <v>1</v>
      </c>
    </row>
    <row r="134" spans="1:17" x14ac:dyDescent="0.3">
      <c r="A134" s="1" t="s">
        <v>530</v>
      </c>
      <c r="B134" s="2" t="s">
        <v>867</v>
      </c>
      <c r="C134" s="2" t="s">
        <v>868</v>
      </c>
      <c r="D134" s="3">
        <v>91</v>
      </c>
      <c r="E134" s="4">
        <v>0.67504898758981102</v>
      </c>
      <c r="F134" s="4">
        <v>0.55729058227496697</v>
      </c>
      <c r="G134" s="4">
        <v>0.56128114372961302</v>
      </c>
      <c r="H134" s="4">
        <v>3.47005343882296E-5</v>
      </c>
      <c r="I134" s="4">
        <v>0.26844333402734399</v>
      </c>
      <c r="J134" s="4">
        <v>1.2492192379762601E-2</v>
      </c>
      <c r="K134" s="4">
        <v>0</v>
      </c>
      <c r="L134" s="4">
        <v>0.15490318550905699</v>
      </c>
      <c r="M134" s="4">
        <v>2.8454438198348198E-3</v>
      </c>
      <c r="N134" s="3">
        <v>1</v>
      </c>
      <c r="O134" s="3">
        <v>0</v>
      </c>
      <c r="P134" s="3">
        <v>0</v>
      </c>
      <c r="Q134" s="3">
        <v>0</v>
      </c>
    </row>
    <row r="135" spans="1:17" x14ac:dyDescent="0.3">
      <c r="A135" s="1" t="s">
        <v>534</v>
      </c>
      <c r="B135" s="2" t="s">
        <v>869</v>
      </c>
      <c r="C135" s="2" t="s">
        <v>870</v>
      </c>
      <c r="D135" s="3">
        <v>92</v>
      </c>
      <c r="E135" s="4">
        <v>0.71513412518350505</v>
      </c>
      <c r="F135" s="4">
        <v>0.33279321519685601</v>
      </c>
      <c r="G135" s="4">
        <v>0.337688754050886</v>
      </c>
      <c r="H135" s="4">
        <v>3.1028063159346299E-4</v>
      </c>
      <c r="I135" s="4">
        <v>0.13476522098876101</v>
      </c>
      <c r="J135" s="4">
        <v>3.1476246293870198E-2</v>
      </c>
      <c r="K135" s="4">
        <v>0</v>
      </c>
      <c r="L135" s="4">
        <v>0.49013997104047402</v>
      </c>
      <c r="M135" s="4">
        <v>5.6195269944149502E-3</v>
      </c>
      <c r="N135" s="3">
        <v>0</v>
      </c>
      <c r="O135" s="3">
        <v>5</v>
      </c>
      <c r="P135" s="3">
        <v>0</v>
      </c>
      <c r="Q135" s="3">
        <v>0</v>
      </c>
    </row>
    <row r="136" spans="1:17" x14ac:dyDescent="0.3">
      <c r="A136" s="1" t="s">
        <v>540</v>
      </c>
      <c r="B136" s="2" t="s">
        <v>871</v>
      </c>
      <c r="C136" s="2" t="s">
        <v>872</v>
      </c>
      <c r="D136" s="3">
        <v>93</v>
      </c>
      <c r="E136" s="4">
        <v>0.70305551570793301</v>
      </c>
      <c r="F136" s="4">
        <v>0.472308115165258</v>
      </c>
      <c r="G136" s="4">
        <v>0.48069126640555199</v>
      </c>
      <c r="H136" s="4">
        <v>5.5658627087198497E-3</v>
      </c>
      <c r="I136" s="4">
        <v>0.210712567855425</v>
      </c>
      <c r="J136" s="4">
        <v>1.8896447467875999E-2</v>
      </c>
      <c r="K136" s="4">
        <v>0</v>
      </c>
      <c r="L136" s="4">
        <v>0.28210678210678197</v>
      </c>
      <c r="M136" s="4">
        <v>2.0270734556448798E-3</v>
      </c>
      <c r="N136" s="3">
        <v>0</v>
      </c>
      <c r="O136" s="3">
        <v>2</v>
      </c>
      <c r="P136" s="3">
        <v>2</v>
      </c>
      <c r="Q136" s="3">
        <v>0</v>
      </c>
    </row>
    <row r="137" spans="1:17" x14ac:dyDescent="0.3">
      <c r="A137" s="1" t="s">
        <v>544</v>
      </c>
      <c r="B137" s="2" t="s">
        <v>873</v>
      </c>
      <c r="C137" s="2" t="s">
        <v>874</v>
      </c>
      <c r="D137" s="3">
        <v>94</v>
      </c>
      <c r="E137" s="4">
        <v>0.75773195876288701</v>
      </c>
      <c r="F137" s="4">
        <v>0.51110729613733896</v>
      </c>
      <c r="G137" s="4">
        <v>0.51945064377682404</v>
      </c>
      <c r="H137" s="4">
        <v>1.9570815450643802E-3</v>
      </c>
      <c r="I137" s="4">
        <v>0.17438626609442101</v>
      </c>
      <c r="J137" s="4">
        <v>3.8832618025751102E-2</v>
      </c>
      <c r="K137" s="4">
        <v>0</v>
      </c>
      <c r="L137" s="4">
        <v>0.26104721030042899</v>
      </c>
      <c r="M137" s="4">
        <v>4.3261802575107304E-3</v>
      </c>
      <c r="N137" s="3">
        <v>1</v>
      </c>
      <c r="O137" s="3">
        <v>5</v>
      </c>
      <c r="P137" s="3">
        <v>0</v>
      </c>
      <c r="Q137" s="3">
        <v>0</v>
      </c>
    </row>
    <row r="138" spans="1:17" x14ac:dyDescent="0.3">
      <c r="A138" s="1" t="s">
        <v>549</v>
      </c>
      <c r="B138" s="2" t="s">
        <v>875</v>
      </c>
      <c r="C138" s="2" t="s">
        <v>876</v>
      </c>
      <c r="D138" s="3">
        <v>95</v>
      </c>
      <c r="E138" s="4">
        <v>0.74879774797669796</v>
      </c>
      <c r="F138" s="4">
        <v>0.58886040078267299</v>
      </c>
      <c r="G138" s="4">
        <v>0.59867755212198903</v>
      </c>
      <c r="H138" s="4">
        <v>1.0120774576614299E-4</v>
      </c>
      <c r="I138" s="4">
        <v>0.20703731192227201</v>
      </c>
      <c r="J138" s="4">
        <v>4.7331489103299401E-2</v>
      </c>
      <c r="K138" s="4">
        <v>0</v>
      </c>
      <c r="L138" s="4">
        <v>0.13814857297078501</v>
      </c>
      <c r="M138" s="4">
        <v>8.7038661358882705E-3</v>
      </c>
      <c r="N138" s="3">
        <v>2</v>
      </c>
      <c r="O138" s="3">
        <v>5</v>
      </c>
      <c r="P138" s="3">
        <v>0</v>
      </c>
      <c r="Q138" s="3">
        <v>0</v>
      </c>
    </row>
    <row r="139" spans="1:17" x14ac:dyDescent="0.3">
      <c r="A139" s="1" t="s">
        <v>553</v>
      </c>
      <c r="B139" s="2" t="s">
        <v>877</v>
      </c>
      <c r="C139" s="2" t="s">
        <v>878</v>
      </c>
      <c r="D139" s="3">
        <v>96</v>
      </c>
      <c r="E139" s="4">
        <v>0.78184534927157301</v>
      </c>
      <c r="F139" s="4">
        <v>0.34289424860853401</v>
      </c>
      <c r="G139" s="4">
        <v>0.345936920222634</v>
      </c>
      <c r="H139" s="4">
        <v>0</v>
      </c>
      <c r="I139" s="4">
        <v>0.103821892393321</v>
      </c>
      <c r="J139" s="4">
        <v>4.2374768089053799E-2</v>
      </c>
      <c r="K139" s="4">
        <v>0</v>
      </c>
      <c r="L139" s="4">
        <v>0.50508348794063096</v>
      </c>
      <c r="M139" s="4">
        <v>2.7829313543599201E-3</v>
      </c>
      <c r="N139" s="3">
        <v>0</v>
      </c>
      <c r="O139" s="3">
        <v>5</v>
      </c>
      <c r="P139" s="3">
        <v>0</v>
      </c>
      <c r="Q139" s="3">
        <v>0</v>
      </c>
    </row>
    <row r="140" spans="1:17" x14ac:dyDescent="0.3">
      <c r="A140" s="1" t="s">
        <v>557</v>
      </c>
      <c r="B140" s="2" t="s">
        <v>879</v>
      </c>
      <c r="C140" s="2" t="s">
        <v>880</v>
      </c>
      <c r="D140" s="3">
        <v>97</v>
      </c>
      <c r="E140" s="4">
        <v>0.730752309722833</v>
      </c>
      <c r="F140" s="4">
        <v>0.497486459313074</v>
      </c>
      <c r="G140" s="4">
        <v>0.50004864917458602</v>
      </c>
      <c r="H140" s="4">
        <v>2.5946226445691298E-4</v>
      </c>
      <c r="I140" s="4">
        <v>0.19063989880971699</v>
      </c>
      <c r="J140" s="4">
        <v>3.8400415139623098E-2</v>
      </c>
      <c r="K140" s="4">
        <v>0</v>
      </c>
      <c r="L140" s="4">
        <v>0.26675964064476398</v>
      </c>
      <c r="M140" s="4">
        <v>3.8919339668536902E-3</v>
      </c>
      <c r="N140" s="3">
        <v>0</v>
      </c>
      <c r="O140" s="3">
        <v>6</v>
      </c>
      <c r="P140" s="3">
        <v>0</v>
      </c>
      <c r="Q140" s="3">
        <v>1</v>
      </c>
    </row>
    <row r="141" spans="1:17" x14ac:dyDescent="0.3">
      <c r="A141" s="1" t="s">
        <v>560</v>
      </c>
      <c r="B141" s="2" t="s">
        <v>881</v>
      </c>
      <c r="C141" s="2" t="s">
        <v>882</v>
      </c>
      <c r="D141" s="3">
        <v>98</v>
      </c>
      <c r="E141" s="4">
        <v>0.68252038895859501</v>
      </c>
      <c r="F141" s="4">
        <v>0.52431431936732298</v>
      </c>
      <c r="G141" s="4">
        <v>0.53575635201076899</v>
      </c>
      <c r="H141" s="4">
        <v>1.6153457849570899E-2</v>
      </c>
      <c r="I141" s="4">
        <v>0.26585899377418798</v>
      </c>
      <c r="J141" s="4">
        <v>3.3888608446912299E-2</v>
      </c>
      <c r="K141" s="4">
        <v>0</v>
      </c>
      <c r="L141" s="4">
        <v>0.142049469964664</v>
      </c>
      <c r="M141" s="4">
        <v>6.2931179538953403E-3</v>
      </c>
      <c r="N141" s="3">
        <v>2</v>
      </c>
      <c r="O141" s="3">
        <v>3</v>
      </c>
      <c r="P141" s="3">
        <v>1</v>
      </c>
      <c r="Q141" s="3">
        <v>0</v>
      </c>
    </row>
    <row r="142" spans="1:17" x14ac:dyDescent="0.3">
      <c r="A142" s="1" t="s">
        <v>562</v>
      </c>
      <c r="B142" s="2" t="s">
        <v>883</v>
      </c>
      <c r="C142" s="2" t="s">
        <v>884</v>
      </c>
      <c r="D142" s="3">
        <v>99</v>
      </c>
      <c r="E142" s="4">
        <v>0.79292334853611901</v>
      </c>
      <c r="F142" s="4">
        <v>0.31066956086157999</v>
      </c>
      <c r="G142" s="4">
        <v>0.32963766905994302</v>
      </c>
      <c r="H142" s="4">
        <v>1.1521122057104699E-2</v>
      </c>
      <c r="I142" s="4">
        <v>9.1534479879779598E-2</v>
      </c>
      <c r="J142" s="4">
        <v>1.8801135414927402E-2</v>
      </c>
      <c r="K142" s="4">
        <v>0</v>
      </c>
      <c r="L142" s="4">
        <v>0.54623476373351099</v>
      </c>
      <c r="M142" s="4">
        <v>2.2708298547336799E-3</v>
      </c>
      <c r="N142" s="3">
        <v>0</v>
      </c>
      <c r="O142" s="3">
        <v>2</v>
      </c>
      <c r="P142" s="3">
        <v>2</v>
      </c>
      <c r="Q142" s="3">
        <v>0</v>
      </c>
    </row>
    <row r="143" spans="1:17" x14ac:dyDescent="0.3">
      <c r="A143" s="1" t="s">
        <v>568</v>
      </c>
      <c r="B143" s="2" t="s">
        <v>885</v>
      </c>
      <c r="C143" s="2" t="s">
        <v>886</v>
      </c>
      <c r="D143" s="3">
        <v>100</v>
      </c>
      <c r="E143" s="4">
        <v>0.75476458486977405</v>
      </c>
      <c r="F143" s="4">
        <v>0.58462473412336702</v>
      </c>
      <c r="G143" s="4">
        <v>0.59569870691110405</v>
      </c>
      <c r="H143" s="4">
        <v>6.7524224315473205E-5</v>
      </c>
      <c r="I143" s="4">
        <v>0.17384111550018599</v>
      </c>
      <c r="J143" s="4">
        <v>5.8475978257199801E-2</v>
      </c>
      <c r="K143" s="4">
        <v>0</v>
      </c>
      <c r="L143" s="4">
        <v>0.15138931091529101</v>
      </c>
      <c r="M143" s="4">
        <v>2.0527364191903801E-2</v>
      </c>
      <c r="N143" s="3">
        <v>2</v>
      </c>
      <c r="O143" s="3">
        <v>10</v>
      </c>
      <c r="P143" s="3">
        <v>0</v>
      </c>
      <c r="Q143" s="3">
        <v>1</v>
      </c>
    </row>
    <row r="144" spans="1:17" x14ac:dyDescent="0.3">
      <c r="A144" s="1" t="s">
        <v>570</v>
      </c>
      <c r="B144" s="2" t="s">
        <v>887</v>
      </c>
      <c r="C144" s="2" t="s">
        <v>888</v>
      </c>
      <c r="D144" s="3">
        <v>101</v>
      </c>
      <c r="E144" s="4">
        <v>0.85263766201601598</v>
      </c>
      <c r="F144" s="4">
        <v>0.31685816164817698</v>
      </c>
      <c r="G144" s="4">
        <v>0.323230322239831</v>
      </c>
      <c r="H144" s="4">
        <v>8.2540940306391995E-3</v>
      </c>
      <c r="I144" s="4">
        <v>5.1406497622820901E-2</v>
      </c>
      <c r="J144" s="4">
        <v>9.5087163232963502E-3</v>
      </c>
      <c r="K144" s="4">
        <v>0</v>
      </c>
      <c r="L144" s="4">
        <v>0.60136027469624898</v>
      </c>
      <c r="M144" s="4">
        <v>6.2400950871632299E-3</v>
      </c>
      <c r="N144" s="3">
        <v>3</v>
      </c>
      <c r="O144" s="3">
        <v>1</v>
      </c>
      <c r="P144" s="3">
        <v>2</v>
      </c>
      <c r="Q144" s="3">
        <v>0</v>
      </c>
    </row>
    <row r="145" spans="1:17" x14ac:dyDescent="0.3">
      <c r="A145" s="1" t="s">
        <v>575</v>
      </c>
      <c r="B145" s="2" t="s">
        <v>889</v>
      </c>
      <c r="C145" s="2" t="s">
        <v>890</v>
      </c>
      <c r="D145" s="3">
        <v>102</v>
      </c>
      <c r="E145" s="4">
        <v>0.68513302034428802</v>
      </c>
      <c r="F145" s="4">
        <v>0.56375322197301903</v>
      </c>
      <c r="G145" s="4">
        <v>0.565795199678639</v>
      </c>
      <c r="H145" s="4">
        <v>0</v>
      </c>
      <c r="I145" s="4">
        <v>0.26462022562179899</v>
      </c>
      <c r="J145" s="4">
        <v>2.04197770562046E-2</v>
      </c>
      <c r="K145" s="4">
        <v>0</v>
      </c>
      <c r="L145" s="4">
        <v>0.14474609178857201</v>
      </c>
      <c r="M145" s="4">
        <v>4.4187058547852601E-3</v>
      </c>
      <c r="N145" s="3">
        <v>0</v>
      </c>
      <c r="O145" s="3">
        <v>1</v>
      </c>
      <c r="P145" s="3">
        <v>0</v>
      </c>
      <c r="Q145" s="3">
        <v>0</v>
      </c>
    </row>
    <row r="146" spans="1:17" x14ac:dyDescent="0.3">
      <c r="A146" s="1" t="s">
        <v>577</v>
      </c>
      <c r="B146" s="2" t="s">
        <v>891</v>
      </c>
      <c r="C146" s="2" t="s">
        <v>892</v>
      </c>
      <c r="D146" s="3">
        <v>103</v>
      </c>
      <c r="E146" s="4">
        <v>0.69218116021493603</v>
      </c>
      <c r="F146" s="4">
        <v>0.54779147908918902</v>
      </c>
      <c r="G146" s="4">
        <v>0.55575128857571598</v>
      </c>
      <c r="H146" s="4">
        <v>3.26221700267502E-5</v>
      </c>
      <c r="I146" s="4">
        <v>0.26867619234031398</v>
      </c>
      <c r="J146" s="4">
        <v>6.1949500880798598E-2</v>
      </c>
      <c r="K146" s="4">
        <v>0</v>
      </c>
      <c r="L146" s="4">
        <v>0.109773602140014</v>
      </c>
      <c r="M146" s="4">
        <v>3.81679389312977E-3</v>
      </c>
      <c r="N146" s="3">
        <v>0</v>
      </c>
      <c r="O146" s="3">
        <v>7</v>
      </c>
      <c r="P146" s="3">
        <v>0</v>
      </c>
      <c r="Q146" s="3">
        <v>0</v>
      </c>
    </row>
    <row r="147" spans="1:17" x14ac:dyDescent="0.3">
      <c r="A147" s="1" t="s">
        <v>580</v>
      </c>
      <c r="B147" s="2" t="s">
        <v>893</v>
      </c>
      <c r="C147" s="2" t="s">
        <v>894</v>
      </c>
      <c r="D147" s="3">
        <v>104</v>
      </c>
      <c r="E147" s="4">
        <v>0.75764281138997303</v>
      </c>
      <c r="F147" s="4">
        <v>0.37965983593576802</v>
      </c>
      <c r="G147" s="4">
        <v>0.38415734963418102</v>
      </c>
      <c r="H147" s="4">
        <v>6.3345263357932397E-5</v>
      </c>
      <c r="I147" s="4">
        <v>0.124948531973522</v>
      </c>
      <c r="J147" s="4">
        <v>2.78719158774903E-2</v>
      </c>
      <c r="K147" s="4">
        <v>0</v>
      </c>
      <c r="L147" s="4">
        <v>0.46083679092895802</v>
      </c>
      <c r="M147" s="4">
        <v>2.12206632249074E-3</v>
      </c>
      <c r="N147" s="3">
        <v>2</v>
      </c>
      <c r="O147" s="3">
        <v>5</v>
      </c>
      <c r="P147" s="3">
        <v>0</v>
      </c>
      <c r="Q147" s="3">
        <v>0</v>
      </c>
    </row>
    <row r="148" spans="1:17" x14ac:dyDescent="0.3">
      <c r="A148" s="1" t="s">
        <v>586</v>
      </c>
      <c r="B148" s="2" t="s">
        <v>895</v>
      </c>
      <c r="C148" s="2" t="s">
        <v>896</v>
      </c>
      <c r="D148" s="3">
        <v>105</v>
      </c>
      <c r="E148" s="4">
        <v>0.74111516006426104</v>
      </c>
      <c r="F148" s="4">
        <v>0.56529498922413801</v>
      </c>
      <c r="G148" s="4">
        <v>0.57401670258620696</v>
      </c>
      <c r="H148" s="4">
        <v>1.4816810344827601E-3</v>
      </c>
      <c r="I148" s="4">
        <v>0.21046605603448301</v>
      </c>
      <c r="J148" s="4">
        <v>6.1422413793103398E-2</v>
      </c>
      <c r="K148" s="4">
        <v>0</v>
      </c>
      <c r="L148" s="4">
        <v>0.145844558189655</v>
      </c>
      <c r="M148" s="4">
        <v>6.7685883620689702E-3</v>
      </c>
      <c r="N148" s="3">
        <v>0</v>
      </c>
      <c r="O148" s="3">
        <v>12</v>
      </c>
      <c r="P148" s="3">
        <v>1</v>
      </c>
      <c r="Q148" s="3">
        <v>0</v>
      </c>
    </row>
    <row r="149" spans="1:17" x14ac:dyDescent="0.3">
      <c r="A149" s="1" t="s">
        <v>590</v>
      </c>
      <c r="B149" s="2" t="s">
        <v>897</v>
      </c>
      <c r="C149" s="2" t="s">
        <v>898</v>
      </c>
      <c r="D149" s="3">
        <v>106</v>
      </c>
      <c r="E149" s="4">
        <v>0.66200806970352599</v>
      </c>
      <c r="F149" s="4">
        <v>0.60261183662128404</v>
      </c>
      <c r="G149" s="4">
        <v>0.60955821061405902</v>
      </c>
      <c r="H149" s="4">
        <v>2.22283967768825E-4</v>
      </c>
      <c r="I149" s="4">
        <v>0.303417616004446</v>
      </c>
      <c r="J149" s="4">
        <v>1.8560711308696898E-2</v>
      </c>
      <c r="K149" s="4">
        <v>0</v>
      </c>
      <c r="L149" s="4">
        <v>5.0180605723812201E-2</v>
      </c>
      <c r="M149" s="4">
        <v>1.8060572381216999E-2</v>
      </c>
      <c r="N149" s="3">
        <v>0</v>
      </c>
      <c r="O149" s="3">
        <v>1</v>
      </c>
      <c r="P149" s="3">
        <v>0</v>
      </c>
      <c r="Q149" s="3">
        <v>4</v>
      </c>
    </row>
    <row r="150" spans="1:17" x14ac:dyDescent="0.3">
      <c r="A150" s="1" t="s">
        <v>592</v>
      </c>
      <c r="B150" s="2" t="s">
        <v>899</v>
      </c>
      <c r="C150" s="2" t="s">
        <v>900</v>
      </c>
      <c r="D150" s="3">
        <v>107</v>
      </c>
      <c r="E150" s="4">
        <v>0.73796815033746499</v>
      </c>
      <c r="F150" s="4">
        <v>0.49813523593319298</v>
      </c>
      <c r="G150" s="4">
        <v>0.50796173179828097</v>
      </c>
      <c r="H150" s="4">
        <v>2.4647316361277802E-3</v>
      </c>
      <c r="I150" s="4">
        <v>0.183946813685747</v>
      </c>
      <c r="J150" s="4">
        <v>3.2106372628506602E-2</v>
      </c>
      <c r="K150" s="4">
        <v>0</v>
      </c>
      <c r="L150" s="4">
        <v>0.26628830874006798</v>
      </c>
      <c r="M150" s="4">
        <v>7.2320415112696601E-3</v>
      </c>
      <c r="N150" s="3">
        <v>4</v>
      </c>
      <c r="O150" s="3">
        <v>5</v>
      </c>
      <c r="P150" s="3">
        <v>0</v>
      </c>
      <c r="Q150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2DF41-BE18-4EC9-B6D1-4DD1E6504C7A}">
  <dimension ref="A1:I150"/>
  <sheetViews>
    <sheetView workbookViewId="0">
      <selection sqref="A1:I1"/>
    </sheetView>
  </sheetViews>
  <sheetFormatPr defaultRowHeight="14.4" x14ac:dyDescent="0.3"/>
  <cols>
    <col min="1" max="1" width="31.44140625" bestFit="1" customWidth="1"/>
    <col min="2" max="2" width="8.33203125" bestFit="1" customWidth="1"/>
    <col min="3" max="3" width="14" bestFit="1" customWidth="1"/>
    <col min="4" max="4" width="10" bestFit="1" customWidth="1"/>
    <col min="5" max="5" width="8.77734375" bestFit="1" customWidth="1"/>
    <col min="6" max="6" width="8.6640625" bestFit="1" customWidth="1"/>
    <col min="7" max="7" width="16.88671875" bestFit="1" customWidth="1"/>
    <col min="8" max="8" width="11.88671875" bestFit="1" customWidth="1"/>
    <col min="9" max="9" width="18.21875" bestFit="1" customWidth="1"/>
  </cols>
  <sheetData>
    <row r="1" spans="1:9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 x14ac:dyDescent="0.3">
      <c r="A2" s="1" t="s">
        <v>9</v>
      </c>
      <c r="B2" s="2" t="s">
        <v>10</v>
      </c>
      <c r="C2" s="2" t="s">
        <v>11</v>
      </c>
      <c r="D2" s="2" t="s">
        <v>12</v>
      </c>
      <c r="E2" s="2" t="s">
        <v>12</v>
      </c>
      <c r="F2" s="2" t="s">
        <v>12</v>
      </c>
      <c r="G2" s="2" t="s">
        <v>12</v>
      </c>
      <c r="H2" s="2" t="s">
        <v>12</v>
      </c>
      <c r="I2" s="2" t="s">
        <v>13</v>
      </c>
    </row>
    <row r="3" spans="1:9" x14ac:dyDescent="0.3">
      <c r="A3" s="1" t="s">
        <v>14</v>
      </c>
      <c r="B3" s="2" t="s">
        <v>15</v>
      </c>
      <c r="C3" s="2" t="s">
        <v>16</v>
      </c>
      <c r="D3" s="2" t="s">
        <v>12</v>
      </c>
      <c r="E3" s="2" t="s">
        <v>12</v>
      </c>
      <c r="F3" s="2" t="s">
        <v>12</v>
      </c>
      <c r="G3" s="2" t="s">
        <v>12</v>
      </c>
      <c r="H3" s="2" t="s">
        <v>12</v>
      </c>
      <c r="I3" s="2" t="s">
        <v>17</v>
      </c>
    </row>
    <row r="4" spans="1:9" x14ac:dyDescent="0.3">
      <c r="A4" s="1" t="s">
        <v>18</v>
      </c>
      <c r="B4" s="2" t="s">
        <v>19</v>
      </c>
      <c r="C4" s="2" t="s">
        <v>20</v>
      </c>
      <c r="D4" s="2" t="s">
        <v>12</v>
      </c>
      <c r="E4" s="2" t="s">
        <v>12</v>
      </c>
      <c r="F4" s="2" t="s">
        <v>12</v>
      </c>
      <c r="G4" s="2" t="s">
        <v>21</v>
      </c>
      <c r="H4" s="2" t="s">
        <v>12</v>
      </c>
      <c r="I4" s="2" t="s">
        <v>22</v>
      </c>
    </row>
    <row r="5" spans="1:9" x14ac:dyDescent="0.3">
      <c r="A5" s="1" t="s">
        <v>23</v>
      </c>
      <c r="B5" s="2" t="s">
        <v>24</v>
      </c>
      <c r="C5" s="2" t="s">
        <v>25</v>
      </c>
      <c r="D5" s="2" t="s">
        <v>26</v>
      </c>
      <c r="E5" s="2" t="s">
        <v>12</v>
      </c>
      <c r="F5" s="2" t="s">
        <v>12</v>
      </c>
      <c r="G5" s="2" t="s">
        <v>12</v>
      </c>
      <c r="H5" s="2" t="s">
        <v>12</v>
      </c>
      <c r="I5" s="2" t="s">
        <v>27</v>
      </c>
    </row>
    <row r="6" spans="1:9" x14ac:dyDescent="0.3">
      <c r="A6" s="1" t="s">
        <v>28</v>
      </c>
      <c r="B6" s="2" t="s">
        <v>12</v>
      </c>
      <c r="C6" s="2" t="s">
        <v>29</v>
      </c>
      <c r="D6" s="2" t="s">
        <v>12</v>
      </c>
      <c r="E6" s="2" t="s">
        <v>12</v>
      </c>
      <c r="F6" s="2" t="s">
        <v>30</v>
      </c>
      <c r="G6" s="2" t="s">
        <v>12</v>
      </c>
      <c r="H6" s="2" t="s">
        <v>31</v>
      </c>
      <c r="I6" s="2" t="s">
        <v>32</v>
      </c>
    </row>
    <row r="7" spans="1:9" x14ac:dyDescent="0.3">
      <c r="A7" s="1" t="s">
        <v>33</v>
      </c>
      <c r="B7" s="2" t="s">
        <v>12</v>
      </c>
      <c r="C7" s="2" t="s">
        <v>34</v>
      </c>
      <c r="D7" s="2" t="s">
        <v>12</v>
      </c>
      <c r="E7" s="2" t="s">
        <v>12</v>
      </c>
      <c r="F7" s="2" t="s">
        <v>12</v>
      </c>
      <c r="G7" s="2" t="s">
        <v>35</v>
      </c>
      <c r="H7" s="2" t="s">
        <v>12</v>
      </c>
      <c r="I7" s="2" t="s">
        <v>36</v>
      </c>
    </row>
    <row r="8" spans="1:9" x14ac:dyDescent="0.3">
      <c r="A8" s="1" t="s">
        <v>37</v>
      </c>
      <c r="B8" s="2" t="s">
        <v>38</v>
      </c>
      <c r="C8" s="2" t="s">
        <v>39</v>
      </c>
      <c r="D8" s="2" t="s">
        <v>12</v>
      </c>
      <c r="E8" s="2" t="s">
        <v>12</v>
      </c>
      <c r="F8" s="2" t="s">
        <v>12</v>
      </c>
      <c r="G8" s="2" t="s">
        <v>12</v>
      </c>
      <c r="H8" s="2" t="s">
        <v>40</v>
      </c>
      <c r="I8" s="2" t="s">
        <v>41</v>
      </c>
    </row>
    <row r="9" spans="1:9" x14ac:dyDescent="0.3">
      <c r="A9" s="1" t="s">
        <v>42</v>
      </c>
      <c r="B9" s="2" t="s">
        <v>43</v>
      </c>
      <c r="C9" s="2" t="s">
        <v>44</v>
      </c>
      <c r="D9" s="2" t="s">
        <v>12</v>
      </c>
      <c r="E9" s="2" t="s">
        <v>12</v>
      </c>
      <c r="F9" s="2" t="s">
        <v>12</v>
      </c>
      <c r="G9" s="2" t="s">
        <v>12</v>
      </c>
      <c r="H9" s="2" t="s">
        <v>12</v>
      </c>
      <c r="I9" s="2" t="s">
        <v>45</v>
      </c>
    </row>
    <row r="10" spans="1:9" x14ac:dyDescent="0.3">
      <c r="A10" s="1" t="s">
        <v>46</v>
      </c>
      <c r="B10" s="2" t="s">
        <v>47</v>
      </c>
      <c r="C10" s="2" t="s">
        <v>48</v>
      </c>
      <c r="D10" s="2" t="s">
        <v>12</v>
      </c>
      <c r="E10" s="2" t="s">
        <v>12</v>
      </c>
      <c r="F10" s="2" t="s">
        <v>12</v>
      </c>
      <c r="G10" s="2" t="s">
        <v>12</v>
      </c>
      <c r="H10" s="2" t="s">
        <v>12</v>
      </c>
      <c r="I10" s="2" t="s">
        <v>49</v>
      </c>
    </row>
    <row r="11" spans="1:9" x14ac:dyDescent="0.3">
      <c r="A11" s="1" t="s">
        <v>50</v>
      </c>
      <c r="B11" s="2" t="s">
        <v>51</v>
      </c>
      <c r="C11" s="2" t="s">
        <v>52</v>
      </c>
      <c r="D11" s="2" t="s">
        <v>12</v>
      </c>
      <c r="E11" s="2" t="s">
        <v>12</v>
      </c>
      <c r="F11" s="2" t="s">
        <v>12</v>
      </c>
      <c r="G11" s="2" t="s">
        <v>12</v>
      </c>
      <c r="H11" s="2" t="s">
        <v>12</v>
      </c>
      <c r="I11" s="2" t="s">
        <v>53</v>
      </c>
    </row>
    <row r="12" spans="1:9" x14ac:dyDescent="0.3">
      <c r="A12" s="1" t="s">
        <v>54</v>
      </c>
      <c r="B12" s="2" t="s">
        <v>55</v>
      </c>
      <c r="C12" s="2" t="s">
        <v>56</v>
      </c>
      <c r="D12" s="2" t="s">
        <v>12</v>
      </c>
      <c r="E12" s="2" t="s">
        <v>12</v>
      </c>
      <c r="F12" s="2" t="s">
        <v>12</v>
      </c>
      <c r="G12" s="2" t="s">
        <v>12</v>
      </c>
      <c r="H12" s="2" t="s">
        <v>12</v>
      </c>
      <c r="I12" s="2" t="s">
        <v>57</v>
      </c>
    </row>
    <row r="13" spans="1:9" x14ac:dyDescent="0.3">
      <c r="A13" s="1" t="s">
        <v>58</v>
      </c>
      <c r="B13" s="2" t="s">
        <v>59</v>
      </c>
      <c r="C13" s="2" t="s">
        <v>52</v>
      </c>
      <c r="D13" s="2" t="s">
        <v>12</v>
      </c>
      <c r="E13" s="2" t="s">
        <v>60</v>
      </c>
      <c r="F13" s="2" t="s">
        <v>11</v>
      </c>
      <c r="G13" s="2" t="s">
        <v>61</v>
      </c>
      <c r="H13" s="2" t="s">
        <v>12</v>
      </c>
      <c r="I13" s="2" t="s">
        <v>62</v>
      </c>
    </row>
    <row r="14" spans="1:9" x14ac:dyDescent="0.3">
      <c r="A14" s="1" t="s">
        <v>63</v>
      </c>
      <c r="B14" s="2" t="s">
        <v>64</v>
      </c>
      <c r="C14" s="2" t="s">
        <v>65</v>
      </c>
      <c r="D14" s="2" t="s">
        <v>12</v>
      </c>
      <c r="E14" s="2" t="s">
        <v>66</v>
      </c>
      <c r="F14" s="2" t="s">
        <v>12</v>
      </c>
      <c r="G14" s="2" t="s">
        <v>12</v>
      </c>
      <c r="H14" s="2" t="s">
        <v>12</v>
      </c>
      <c r="I14" s="2" t="s">
        <v>67</v>
      </c>
    </row>
    <row r="15" spans="1:9" x14ac:dyDescent="0.3">
      <c r="A15" s="1" t="s">
        <v>68</v>
      </c>
      <c r="B15" s="2" t="s">
        <v>69</v>
      </c>
      <c r="C15" s="2" t="s">
        <v>70</v>
      </c>
      <c r="D15" s="2" t="s">
        <v>12</v>
      </c>
      <c r="E15" s="2" t="s">
        <v>12</v>
      </c>
      <c r="F15" s="2" t="s">
        <v>12</v>
      </c>
      <c r="G15" s="2" t="s">
        <v>12</v>
      </c>
      <c r="H15" s="2" t="s">
        <v>12</v>
      </c>
      <c r="I15" s="2" t="s">
        <v>71</v>
      </c>
    </row>
    <row r="16" spans="1:9" x14ac:dyDescent="0.3">
      <c r="A16" s="1" t="s">
        <v>72</v>
      </c>
      <c r="B16" s="2" t="s">
        <v>73</v>
      </c>
      <c r="C16" s="2" t="s">
        <v>20</v>
      </c>
      <c r="D16" s="2" t="s">
        <v>12</v>
      </c>
      <c r="E16" s="2" t="s">
        <v>12</v>
      </c>
      <c r="F16" s="2" t="s">
        <v>12</v>
      </c>
      <c r="G16" s="2" t="s">
        <v>74</v>
      </c>
      <c r="H16" s="2" t="s">
        <v>12</v>
      </c>
      <c r="I16" s="2" t="s">
        <v>75</v>
      </c>
    </row>
    <row r="17" spans="1:9" x14ac:dyDescent="0.3">
      <c r="A17" s="1" t="s">
        <v>76</v>
      </c>
      <c r="B17" s="2" t="s">
        <v>77</v>
      </c>
      <c r="C17" s="2" t="s">
        <v>78</v>
      </c>
      <c r="D17" s="2" t="s">
        <v>79</v>
      </c>
      <c r="E17" s="2" t="s">
        <v>12</v>
      </c>
      <c r="F17" s="2" t="s">
        <v>12</v>
      </c>
      <c r="G17" s="2" t="s">
        <v>12</v>
      </c>
      <c r="H17" s="2" t="s">
        <v>12</v>
      </c>
      <c r="I17" s="2" t="s">
        <v>80</v>
      </c>
    </row>
    <row r="18" spans="1:9" x14ac:dyDescent="0.3">
      <c r="A18" s="1" t="s">
        <v>81</v>
      </c>
      <c r="B18" s="2" t="s">
        <v>82</v>
      </c>
      <c r="C18" s="2" t="s">
        <v>83</v>
      </c>
      <c r="D18" s="2" t="s">
        <v>12</v>
      </c>
      <c r="E18" s="2" t="s">
        <v>12</v>
      </c>
      <c r="F18" s="2" t="s">
        <v>12</v>
      </c>
      <c r="G18" s="2" t="s">
        <v>12</v>
      </c>
      <c r="H18" s="2" t="s">
        <v>12</v>
      </c>
      <c r="I18" s="2" t="s">
        <v>84</v>
      </c>
    </row>
    <row r="19" spans="1:9" x14ac:dyDescent="0.3">
      <c r="A19" s="1" t="s">
        <v>85</v>
      </c>
      <c r="B19" s="2" t="s">
        <v>86</v>
      </c>
      <c r="C19" s="2" t="s">
        <v>39</v>
      </c>
      <c r="D19" s="2" t="s">
        <v>12</v>
      </c>
      <c r="E19" s="2" t="s">
        <v>12</v>
      </c>
      <c r="F19" s="2" t="s">
        <v>12</v>
      </c>
      <c r="G19" s="2" t="s">
        <v>12</v>
      </c>
      <c r="H19" s="2" t="s">
        <v>12</v>
      </c>
      <c r="I19" s="2" t="s">
        <v>87</v>
      </c>
    </row>
    <row r="20" spans="1:9" x14ac:dyDescent="0.3">
      <c r="A20" s="1" t="s">
        <v>88</v>
      </c>
      <c r="B20" s="2" t="s">
        <v>89</v>
      </c>
      <c r="C20" s="2" t="s">
        <v>90</v>
      </c>
      <c r="D20" s="2" t="s">
        <v>12</v>
      </c>
      <c r="E20" s="2" t="s">
        <v>91</v>
      </c>
      <c r="F20" s="2" t="s">
        <v>92</v>
      </c>
      <c r="G20" s="2" t="s">
        <v>12</v>
      </c>
      <c r="H20" s="2" t="s">
        <v>12</v>
      </c>
      <c r="I20" s="2" t="s">
        <v>93</v>
      </c>
    </row>
    <row r="21" spans="1:9" x14ac:dyDescent="0.3">
      <c r="A21" s="1" t="s">
        <v>94</v>
      </c>
      <c r="B21" s="2" t="s">
        <v>95</v>
      </c>
      <c r="C21" s="2" t="s">
        <v>96</v>
      </c>
      <c r="D21" s="2" t="s">
        <v>12</v>
      </c>
      <c r="E21" s="2" t="s">
        <v>12</v>
      </c>
      <c r="F21" s="2" t="s">
        <v>12</v>
      </c>
      <c r="G21" s="2" t="s">
        <v>97</v>
      </c>
      <c r="H21" s="2" t="s">
        <v>12</v>
      </c>
      <c r="I21" s="2" t="s">
        <v>98</v>
      </c>
    </row>
    <row r="22" spans="1:9" x14ac:dyDescent="0.3">
      <c r="A22" s="1" t="s">
        <v>99</v>
      </c>
      <c r="B22" s="2" t="s">
        <v>100</v>
      </c>
      <c r="C22" s="2" t="s">
        <v>101</v>
      </c>
      <c r="D22" s="2" t="s">
        <v>12</v>
      </c>
      <c r="E22" s="2" t="s">
        <v>12</v>
      </c>
      <c r="F22" s="2" t="s">
        <v>12</v>
      </c>
      <c r="G22" s="2" t="s">
        <v>12</v>
      </c>
      <c r="H22" s="2" t="s">
        <v>12</v>
      </c>
      <c r="I22" s="2" t="s">
        <v>102</v>
      </c>
    </row>
    <row r="23" spans="1:9" x14ac:dyDescent="0.3">
      <c r="A23" s="1" t="s">
        <v>103</v>
      </c>
      <c r="B23" s="2" t="s">
        <v>104</v>
      </c>
      <c r="C23" s="2" t="s">
        <v>105</v>
      </c>
      <c r="D23" s="2" t="s">
        <v>12</v>
      </c>
      <c r="E23" s="2" t="s">
        <v>12</v>
      </c>
      <c r="F23" s="2" t="s">
        <v>12</v>
      </c>
      <c r="G23" s="2" t="s">
        <v>12</v>
      </c>
      <c r="H23" s="2" t="s">
        <v>12</v>
      </c>
      <c r="I23" s="2" t="s">
        <v>106</v>
      </c>
    </row>
    <row r="24" spans="1:9" x14ac:dyDescent="0.3">
      <c r="A24" s="1" t="s">
        <v>107</v>
      </c>
      <c r="B24" s="2" t="s">
        <v>108</v>
      </c>
      <c r="C24" s="2" t="s">
        <v>109</v>
      </c>
      <c r="D24" s="2" t="s">
        <v>110</v>
      </c>
      <c r="E24" s="2" t="s">
        <v>12</v>
      </c>
      <c r="F24" s="2" t="s">
        <v>12</v>
      </c>
      <c r="G24" s="2" t="s">
        <v>12</v>
      </c>
      <c r="H24" s="2" t="s">
        <v>12</v>
      </c>
      <c r="I24" s="2" t="s">
        <v>111</v>
      </c>
    </row>
    <row r="25" spans="1:9" x14ac:dyDescent="0.3">
      <c r="A25" s="1" t="s">
        <v>112</v>
      </c>
      <c r="B25" s="2" t="s">
        <v>113</v>
      </c>
      <c r="C25" s="2" t="s">
        <v>114</v>
      </c>
      <c r="D25" s="2" t="s">
        <v>12</v>
      </c>
      <c r="E25" s="2" t="s">
        <v>115</v>
      </c>
      <c r="F25" s="2" t="s">
        <v>12</v>
      </c>
      <c r="G25" s="2" t="s">
        <v>12</v>
      </c>
      <c r="H25" s="2" t="s">
        <v>12</v>
      </c>
      <c r="I25" s="2" t="s">
        <v>116</v>
      </c>
    </row>
    <row r="26" spans="1:9" x14ac:dyDescent="0.3">
      <c r="A26" s="1" t="s">
        <v>117</v>
      </c>
      <c r="B26" s="2" t="s">
        <v>118</v>
      </c>
      <c r="C26" s="2" t="s">
        <v>119</v>
      </c>
      <c r="D26" s="2" t="s">
        <v>12</v>
      </c>
      <c r="E26" s="2" t="s">
        <v>12</v>
      </c>
      <c r="F26" s="2" t="s">
        <v>12</v>
      </c>
      <c r="G26" s="2" t="s">
        <v>12</v>
      </c>
      <c r="H26" s="2" t="s">
        <v>12</v>
      </c>
      <c r="I26" s="2" t="s">
        <v>120</v>
      </c>
    </row>
    <row r="27" spans="1:9" x14ac:dyDescent="0.3">
      <c r="A27" s="1" t="s">
        <v>121</v>
      </c>
      <c r="B27" s="2" t="s">
        <v>12</v>
      </c>
      <c r="C27" s="2" t="s">
        <v>122</v>
      </c>
      <c r="D27" s="2" t="s">
        <v>12</v>
      </c>
      <c r="E27" s="2" t="s">
        <v>12</v>
      </c>
      <c r="F27" s="2" t="s">
        <v>12</v>
      </c>
      <c r="G27" s="2" t="s">
        <v>12</v>
      </c>
      <c r="H27" s="2" t="s">
        <v>12</v>
      </c>
      <c r="I27" s="2" t="s">
        <v>123</v>
      </c>
    </row>
    <row r="28" spans="1:9" x14ac:dyDescent="0.3">
      <c r="A28" s="1" t="s">
        <v>124</v>
      </c>
      <c r="B28" s="2" t="s">
        <v>125</v>
      </c>
      <c r="C28" s="2" t="s">
        <v>126</v>
      </c>
      <c r="D28" s="2" t="s">
        <v>12</v>
      </c>
      <c r="E28" s="2" t="s">
        <v>12</v>
      </c>
      <c r="F28" s="2" t="s">
        <v>12</v>
      </c>
      <c r="G28" s="2" t="s">
        <v>12</v>
      </c>
      <c r="H28" s="2" t="s">
        <v>12</v>
      </c>
      <c r="I28" s="2" t="s">
        <v>127</v>
      </c>
    </row>
    <row r="29" spans="1:9" x14ac:dyDescent="0.3">
      <c r="A29" s="1" t="s">
        <v>128</v>
      </c>
      <c r="B29" s="2" t="s">
        <v>129</v>
      </c>
      <c r="C29" s="2" t="s">
        <v>130</v>
      </c>
      <c r="D29" s="2" t="s">
        <v>12</v>
      </c>
      <c r="E29" s="2" t="s">
        <v>12</v>
      </c>
      <c r="F29" s="2" t="s">
        <v>12</v>
      </c>
      <c r="G29" s="2" t="s">
        <v>12</v>
      </c>
      <c r="H29" s="2" t="s">
        <v>12</v>
      </c>
      <c r="I29" s="2" t="s">
        <v>131</v>
      </c>
    </row>
    <row r="30" spans="1:9" x14ac:dyDescent="0.3">
      <c r="A30" s="1" t="s">
        <v>132</v>
      </c>
      <c r="B30" s="2" t="s">
        <v>133</v>
      </c>
      <c r="C30" s="2" t="s">
        <v>134</v>
      </c>
      <c r="D30" s="2" t="s">
        <v>12</v>
      </c>
      <c r="E30" s="2" t="s">
        <v>135</v>
      </c>
      <c r="F30" s="2" t="s">
        <v>136</v>
      </c>
      <c r="G30" s="2" t="s">
        <v>12</v>
      </c>
      <c r="H30" s="2" t="s">
        <v>12</v>
      </c>
      <c r="I30" s="2" t="s">
        <v>137</v>
      </c>
    </row>
    <row r="31" spans="1:9" x14ac:dyDescent="0.3">
      <c r="A31" s="1" t="s">
        <v>138</v>
      </c>
      <c r="B31" s="2" t="s">
        <v>12</v>
      </c>
      <c r="C31" s="2" t="s">
        <v>139</v>
      </c>
      <c r="D31" s="2" t="s">
        <v>12</v>
      </c>
      <c r="E31" s="2" t="s">
        <v>12</v>
      </c>
      <c r="F31" s="2" t="s">
        <v>140</v>
      </c>
      <c r="G31" s="2" t="s">
        <v>141</v>
      </c>
      <c r="H31" s="2" t="s">
        <v>12</v>
      </c>
      <c r="I31" s="2" t="s">
        <v>142</v>
      </c>
    </row>
    <row r="32" spans="1:9" x14ac:dyDescent="0.3">
      <c r="A32" s="1" t="s">
        <v>143</v>
      </c>
      <c r="B32" s="2" t="s">
        <v>113</v>
      </c>
      <c r="C32" s="2" t="s">
        <v>144</v>
      </c>
      <c r="D32" s="2" t="s">
        <v>12</v>
      </c>
      <c r="E32" s="2" t="s">
        <v>12</v>
      </c>
      <c r="F32" s="2" t="s">
        <v>12</v>
      </c>
      <c r="G32" s="2" t="s">
        <v>12</v>
      </c>
      <c r="H32" s="2" t="s">
        <v>12</v>
      </c>
      <c r="I32" s="2" t="s">
        <v>57</v>
      </c>
    </row>
    <row r="33" spans="1:9" x14ac:dyDescent="0.3">
      <c r="A33" s="1" t="s">
        <v>145</v>
      </c>
      <c r="B33" s="2" t="s">
        <v>146</v>
      </c>
      <c r="C33" s="2" t="s">
        <v>147</v>
      </c>
      <c r="D33" s="2" t="s">
        <v>12</v>
      </c>
      <c r="E33" s="2" t="s">
        <v>148</v>
      </c>
      <c r="F33" s="2" t="s">
        <v>12</v>
      </c>
      <c r="G33" s="2" t="s">
        <v>12</v>
      </c>
      <c r="H33" s="2" t="s">
        <v>12</v>
      </c>
      <c r="I33" s="2" t="s">
        <v>149</v>
      </c>
    </row>
    <row r="34" spans="1:9" x14ac:dyDescent="0.3">
      <c r="A34" s="1" t="s">
        <v>150</v>
      </c>
      <c r="B34" s="2" t="s">
        <v>77</v>
      </c>
      <c r="C34" s="2" t="s">
        <v>151</v>
      </c>
      <c r="D34" s="2" t="s">
        <v>12</v>
      </c>
      <c r="E34" s="2" t="s">
        <v>12</v>
      </c>
      <c r="F34" s="2" t="s">
        <v>12</v>
      </c>
      <c r="G34" s="2" t="s">
        <v>12</v>
      </c>
      <c r="H34" s="2" t="s">
        <v>12</v>
      </c>
      <c r="I34" s="2" t="s">
        <v>152</v>
      </c>
    </row>
    <row r="35" spans="1:9" x14ac:dyDescent="0.3">
      <c r="A35" s="1" t="s">
        <v>153</v>
      </c>
      <c r="B35" s="2" t="s">
        <v>154</v>
      </c>
      <c r="C35" s="2" t="s">
        <v>155</v>
      </c>
      <c r="D35" s="2" t="s">
        <v>12</v>
      </c>
      <c r="E35" s="2" t="s">
        <v>12</v>
      </c>
      <c r="F35" s="2" t="s">
        <v>12</v>
      </c>
      <c r="G35" s="2" t="s">
        <v>12</v>
      </c>
      <c r="H35" s="2" t="s">
        <v>12</v>
      </c>
      <c r="I35" s="2" t="s">
        <v>156</v>
      </c>
    </row>
    <row r="36" spans="1:9" x14ac:dyDescent="0.3">
      <c r="A36" s="1" t="s">
        <v>157</v>
      </c>
      <c r="B36" s="2" t="s">
        <v>12</v>
      </c>
      <c r="C36" s="2" t="s">
        <v>158</v>
      </c>
      <c r="D36" s="2" t="s">
        <v>159</v>
      </c>
      <c r="E36" s="2" t="s">
        <v>12</v>
      </c>
      <c r="F36" s="2" t="s">
        <v>12</v>
      </c>
      <c r="G36" s="2" t="s">
        <v>12</v>
      </c>
      <c r="H36" s="2" t="s">
        <v>12</v>
      </c>
      <c r="I36" s="2" t="s">
        <v>160</v>
      </c>
    </row>
    <row r="37" spans="1:9" x14ac:dyDescent="0.3">
      <c r="A37" s="1" t="s">
        <v>161</v>
      </c>
      <c r="B37" s="2" t="s">
        <v>162</v>
      </c>
      <c r="C37" s="2" t="s">
        <v>163</v>
      </c>
      <c r="D37" s="2" t="s">
        <v>12</v>
      </c>
      <c r="E37" s="2" t="s">
        <v>164</v>
      </c>
      <c r="F37" s="2" t="s">
        <v>165</v>
      </c>
      <c r="G37" s="2" t="s">
        <v>12</v>
      </c>
      <c r="H37" s="2" t="s">
        <v>12</v>
      </c>
      <c r="I37" s="2" t="s">
        <v>166</v>
      </c>
    </row>
    <row r="38" spans="1:9" x14ac:dyDescent="0.3">
      <c r="A38" s="1" t="s">
        <v>167</v>
      </c>
      <c r="B38" s="2" t="s">
        <v>168</v>
      </c>
      <c r="C38" s="2" t="s">
        <v>169</v>
      </c>
      <c r="D38" s="2" t="s">
        <v>12</v>
      </c>
      <c r="E38" s="2" t="s">
        <v>12</v>
      </c>
      <c r="F38" s="2" t="s">
        <v>12</v>
      </c>
      <c r="G38" s="2" t="s">
        <v>12</v>
      </c>
      <c r="H38" s="2" t="s">
        <v>12</v>
      </c>
      <c r="I38" s="2" t="s">
        <v>170</v>
      </c>
    </row>
    <row r="39" spans="1:9" x14ac:dyDescent="0.3">
      <c r="A39" s="1" t="s">
        <v>171</v>
      </c>
      <c r="B39" s="2" t="s">
        <v>15</v>
      </c>
      <c r="C39" s="2" t="s">
        <v>20</v>
      </c>
      <c r="D39" s="2" t="s">
        <v>12</v>
      </c>
      <c r="E39" s="2" t="s">
        <v>12</v>
      </c>
      <c r="F39" s="2" t="s">
        <v>12</v>
      </c>
      <c r="G39" s="2" t="s">
        <v>12</v>
      </c>
      <c r="H39" s="2" t="s">
        <v>12</v>
      </c>
      <c r="I39" s="2" t="s">
        <v>172</v>
      </c>
    </row>
    <row r="40" spans="1:9" x14ac:dyDescent="0.3">
      <c r="A40" s="1" t="s">
        <v>173</v>
      </c>
      <c r="B40" s="2" t="s">
        <v>174</v>
      </c>
      <c r="C40" s="2" t="s">
        <v>175</v>
      </c>
      <c r="D40" s="2" t="s">
        <v>12</v>
      </c>
      <c r="E40" s="2" t="s">
        <v>12</v>
      </c>
      <c r="F40" s="2" t="s">
        <v>12</v>
      </c>
      <c r="G40" s="2" t="s">
        <v>12</v>
      </c>
      <c r="H40" s="2" t="s">
        <v>12</v>
      </c>
      <c r="I40" s="2" t="s">
        <v>176</v>
      </c>
    </row>
    <row r="41" spans="1:9" x14ac:dyDescent="0.3">
      <c r="A41" s="1" t="s">
        <v>177</v>
      </c>
      <c r="B41" s="2" t="s">
        <v>178</v>
      </c>
      <c r="C41" s="2" t="s">
        <v>179</v>
      </c>
      <c r="D41" s="2" t="s">
        <v>12</v>
      </c>
      <c r="E41" s="2" t="s">
        <v>12</v>
      </c>
      <c r="F41" s="2" t="s">
        <v>12</v>
      </c>
      <c r="G41" s="2" t="s">
        <v>12</v>
      </c>
      <c r="H41" s="2" t="s">
        <v>12</v>
      </c>
      <c r="I41" s="2" t="s">
        <v>180</v>
      </c>
    </row>
    <row r="42" spans="1:9" x14ac:dyDescent="0.3">
      <c r="A42" s="1" t="s">
        <v>181</v>
      </c>
      <c r="B42" s="2" t="s">
        <v>182</v>
      </c>
      <c r="C42" s="2" t="s">
        <v>183</v>
      </c>
      <c r="D42" s="2" t="s">
        <v>12</v>
      </c>
      <c r="E42" s="2" t="s">
        <v>12</v>
      </c>
      <c r="F42" s="2" t="s">
        <v>12</v>
      </c>
      <c r="G42" s="2" t="s">
        <v>12</v>
      </c>
      <c r="H42" s="2" t="s">
        <v>12</v>
      </c>
      <c r="I42" s="2" t="s">
        <v>184</v>
      </c>
    </row>
    <row r="43" spans="1:9" x14ac:dyDescent="0.3">
      <c r="A43" s="1" t="s">
        <v>185</v>
      </c>
      <c r="B43" s="2" t="s">
        <v>186</v>
      </c>
      <c r="C43" s="2" t="s">
        <v>187</v>
      </c>
      <c r="D43" s="2" t="s">
        <v>12</v>
      </c>
      <c r="E43" s="2" t="s">
        <v>12</v>
      </c>
      <c r="F43" s="2" t="s">
        <v>188</v>
      </c>
      <c r="G43" s="2" t="s">
        <v>12</v>
      </c>
      <c r="H43" s="2" t="s">
        <v>12</v>
      </c>
      <c r="I43" s="2" t="s">
        <v>189</v>
      </c>
    </row>
    <row r="44" spans="1:9" x14ac:dyDescent="0.3">
      <c r="A44" s="1" t="s">
        <v>190</v>
      </c>
      <c r="B44" s="2" t="s">
        <v>12</v>
      </c>
      <c r="C44" s="2" t="s">
        <v>191</v>
      </c>
      <c r="D44" s="2" t="s">
        <v>12</v>
      </c>
      <c r="E44" s="2" t="s">
        <v>12</v>
      </c>
      <c r="F44" s="2" t="s">
        <v>12</v>
      </c>
      <c r="G44" s="2" t="s">
        <v>12</v>
      </c>
      <c r="H44" s="2" t="s">
        <v>12</v>
      </c>
      <c r="I44" s="2" t="s">
        <v>192</v>
      </c>
    </row>
    <row r="45" spans="1:9" x14ac:dyDescent="0.3">
      <c r="A45" s="1" t="s">
        <v>193</v>
      </c>
      <c r="B45" s="2" t="s">
        <v>194</v>
      </c>
      <c r="C45" s="2" t="s">
        <v>39</v>
      </c>
      <c r="D45" s="2" t="s">
        <v>12</v>
      </c>
      <c r="E45" s="2" t="s">
        <v>12</v>
      </c>
      <c r="F45" s="2" t="s">
        <v>12</v>
      </c>
      <c r="G45" s="2" t="s">
        <v>195</v>
      </c>
      <c r="H45" s="2" t="s">
        <v>12</v>
      </c>
      <c r="I45" s="2" t="s">
        <v>196</v>
      </c>
    </row>
    <row r="46" spans="1:9" x14ac:dyDescent="0.3">
      <c r="A46" s="1" t="s">
        <v>197</v>
      </c>
      <c r="B46" s="2" t="s">
        <v>198</v>
      </c>
      <c r="C46" s="2" t="s">
        <v>199</v>
      </c>
      <c r="D46" s="2" t="s">
        <v>12</v>
      </c>
      <c r="E46" s="2" t="s">
        <v>12</v>
      </c>
      <c r="F46" s="2" t="s">
        <v>12</v>
      </c>
      <c r="G46" s="2" t="s">
        <v>12</v>
      </c>
      <c r="H46" s="2" t="s">
        <v>12</v>
      </c>
      <c r="I46" s="2" t="s">
        <v>200</v>
      </c>
    </row>
    <row r="47" spans="1:9" x14ac:dyDescent="0.3">
      <c r="A47" s="1" t="s">
        <v>201</v>
      </c>
      <c r="B47" s="2" t="s">
        <v>202</v>
      </c>
      <c r="C47" s="2" t="s">
        <v>203</v>
      </c>
      <c r="D47" s="2" t="s">
        <v>204</v>
      </c>
      <c r="E47" s="2" t="s">
        <v>12</v>
      </c>
      <c r="F47" s="2" t="s">
        <v>12</v>
      </c>
      <c r="G47" s="2" t="s">
        <v>12</v>
      </c>
      <c r="H47" s="2" t="s">
        <v>12</v>
      </c>
      <c r="I47" s="2" t="s">
        <v>205</v>
      </c>
    </row>
    <row r="48" spans="1:9" x14ac:dyDescent="0.3">
      <c r="A48" s="1" t="s">
        <v>206</v>
      </c>
      <c r="B48" s="2" t="s">
        <v>146</v>
      </c>
      <c r="C48" s="2" t="s">
        <v>203</v>
      </c>
      <c r="D48" s="2" t="s">
        <v>12</v>
      </c>
      <c r="E48" s="2" t="s">
        <v>12</v>
      </c>
      <c r="F48" s="2" t="s">
        <v>12</v>
      </c>
      <c r="G48" s="2" t="s">
        <v>12</v>
      </c>
      <c r="H48" s="2" t="s">
        <v>12</v>
      </c>
      <c r="I48" s="2" t="s">
        <v>207</v>
      </c>
    </row>
    <row r="49" spans="1:9" x14ac:dyDescent="0.3">
      <c r="A49" s="1" t="s">
        <v>208</v>
      </c>
      <c r="B49" s="2" t="s">
        <v>86</v>
      </c>
      <c r="C49" s="2" t="s">
        <v>209</v>
      </c>
      <c r="D49" s="2" t="s">
        <v>12</v>
      </c>
      <c r="E49" s="2" t="s">
        <v>12</v>
      </c>
      <c r="F49" s="2" t="s">
        <v>12</v>
      </c>
      <c r="G49" s="2" t="s">
        <v>12</v>
      </c>
      <c r="H49" s="2" t="s">
        <v>12</v>
      </c>
      <c r="I49" s="2" t="s">
        <v>196</v>
      </c>
    </row>
    <row r="50" spans="1:9" x14ac:dyDescent="0.3">
      <c r="A50" s="1" t="s">
        <v>210</v>
      </c>
      <c r="B50" s="2" t="s">
        <v>108</v>
      </c>
      <c r="C50" s="2" t="s">
        <v>211</v>
      </c>
      <c r="D50" s="2" t="s">
        <v>12</v>
      </c>
      <c r="E50" s="2" t="s">
        <v>12</v>
      </c>
      <c r="F50" s="2" t="s">
        <v>12</v>
      </c>
      <c r="G50" s="2" t="s">
        <v>12</v>
      </c>
      <c r="H50" s="2" t="s">
        <v>12</v>
      </c>
      <c r="I50" s="2" t="s">
        <v>212</v>
      </c>
    </row>
    <row r="51" spans="1:9" x14ac:dyDescent="0.3">
      <c r="A51" s="1" t="s">
        <v>213</v>
      </c>
      <c r="B51" s="2" t="s">
        <v>12</v>
      </c>
      <c r="C51" s="2" t="s">
        <v>214</v>
      </c>
      <c r="D51" s="2" t="s">
        <v>12</v>
      </c>
      <c r="E51" s="2" t="s">
        <v>12</v>
      </c>
      <c r="F51" s="2" t="s">
        <v>12</v>
      </c>
      <c r="G51" s="2" t="s">
        <v>215</v>
      </c>
      <c r="H51" s="2" t="s">
        <v>12</v>
      </c>
      <c r="I51" s="2" t="s">
        <v>216</v>
      </c>
    </row>
    <row r="52" spans="1:9" x14ac:dyDescent="0.3">
      <c r="A52" s="1" t="s">
        <v>217</v>
      </c>
      <c r="B52" s="2" t="s">
        <v>218</v>
      </c>
      <c r="C52" s="2" t="s">
        <v>219</v>
      </c>
      <c r="D52" s="2" t="s">
        <v>12</v>
      </c>
      <c r="E52" s="2" t="s">
        <v>12</v>
      </c>
      <c r="F52" s="2" t="s">
        <v>12</v>
      </c>
      <c r="G52" s="2" t="s">
        <v>220</v>
      </c>
      <c r="H52" s="2" t="s">
        <v>12</v>
      </c>
      <c r="I52" s="2" t="s">
        <v>221</v>
      </c>
    </row>
    <row r="53" spans="1:9" x14ac:dyDescent="0.3">
      <c r="A53" s="1" t="s">
        <v>222</v>
      </c>
      <c r="B53" s="2" t="s">
        <v>38</v>
      </c>
      <c r="C53" s="2" t="s">
        <v>126</v>
      </c>
      <c r="D53" s="2" t="s">
        <v>12</v>
      </c>
      <c r="E53" s="2" t="s">
        <v>12</v>
      </c>
      <c r="F53" s="2" t="s">
        <v>12</v>
      </c>
      <c r="G53" s="2" t="s">
        <v>12</v>
      </c>
      <c r="H53" s="2" t="s">
        <v>12</v>
      </c>
      <c r="I53" s="2" t="s">
        <v>223</v>
      </c>
    </row>
    <row r="54" spans="1:9" x14ac:dyDescent="0.3">
      <c r="A54" s="1" t="s">
        <v>224</v>
      </c>
      <c r="B54" s="2" t="s">
        <v>225</v>
      </c>
      <c r="C54" s="2" t="s">
        <v>39</v>
      </c>
      <c r="D54" s="2" t="s">
        <v>12</v>
      </c>
      <c r="E54" s="2" t="s">
        <v>12</v>
      </c>
      <c r="F54" s="2" t="s">
        <v>12</v>
      </c>
      <c r="G54" s="2" t="s">
        <v>12</v>
      </c>
      <c r="H54" s="2" t="s">
        <v>12</v>
      </c>
      <c r="I54" s="2" t="s">
        <v>226</v>
      </c>
    </row>
    <row r="55" spans="1:9" x14ac:dyDescent="0.3">
      <c r="A55" s="1" t="s">
        <v>227</v>
      </c>
      <c r="B55" s="2" t="s">
        <v>228</v>
      </c>
      <c r="C55" s="2" t="s">
        <v>229</v>
      </c>
      <c r="D55" s="2" t="s">
        <v>12</v>
      </c>
      <c r="E55" s="2" t="s">
        <v>12</v>
      </c>
      <c r="F55" s="2" t="s">
        <v>12</v>
      </c>
      <c r="G55" s="2" t="s">
        <v>12</v>
      </c>
      <c r="H55" s="2" t="s">
        <v>12</v>
      </c>
      <c r="I55" s="2" t="s">
        <v>230</v>
      </c>
    </row>
    <row r="56" spans="1:9" x14ac:dyDescent="0.3">
      <c r="A56" s="1" t="s">
        <v>231</v>
      </c>
      <c r="B56" s="2" t="s">
        <v>232</v>
      </c>
      <c r="C56" s="2" t="s">
        <v>233</v>
      </c>
      <c r="D56" s="2" t="s">
        <v>12</v>
      </c>
      <c r="E56" s="2" t="s">
        <v>12</v>
      </c>
      <c r="F56" s="2" t="s">
        <v>12</v>
      </c>
      <c r="G56" s="2" t="s">
        <v>12</v>
      </c>
      <c r="H56" s="2" t="s">
        <v>12</v>
      </c>
      <c r="I56" s="2" t="s">
        <v>234</v>
      </c>
    </row>
    <row r="57" spans="1:9" x14ac:dyDescent="0.3">
      <c r="A57" s="1" t="s">
        <v>235</v>
      </c>
      <c r="B57" s="2" t="s">
        <v>125</v>
      </c>
      <c r="C57" s="2" t="s">
        <v>203</v>
      </c>
      <c r="D57" s="2" t="s">
        <v>12</v>
      </c>
      <c r="E57" s="2" t="s">
        <v>12</v>
      </c>
      <c r="F57" s="2" t="s">
        <v>12</v>
      </c>
      <c r="G57" s="2" t="s">
        <v>12</v>
      </c>
      <c r="H57" s="2" t="s">
        <v>12</v>
      </c>
      <c r="I57" s="2" t="s">
        <v>236</v>
      </c>
    </row>
    <row r="58" spans="1:9" x14ac:dyDescent="0.3">
      <c r="A58" s="1" t="s">
        <v>237</v>
      </c>
      <c r="B58" s="2" t="s">
        <v>15</v>
      </c>
      <c r="C58" s="2" t="s">
        <v>203</v>
      </c>
      <c r="D58" s="2" t="s">
        <v>12</v>
      </c>
      <c r="E58" s="2" t="s">
        <v>12</v>
      </c>
      <c r="F58" s="2" t="s">
        <v>12</v>
      </c>
      <c r="G58" s="2" t="s">
        <v>12</v>
      </c>
      <c r="H58" s="2" t="s">
        <v>12</v>
      </c>
      <c r="I58" s="2" t="s">
        <v>238</v>
      </c>
    </row>
    <row r="59" spans="1:9" x14ac:dyDescent="0.3">
      <c r="A59" s="1" t="s">
        <v>239</v>
      </c>
      <c r="B59" s="2" t="s">
        <v>47</v>
      </c>
      <c r="C59" s="2" t="s">
        <v>240</v>
      </c>
      <c r="D59" s="2" t="s">
        <v>12</v>
      </c>
      <c r="E59" s="2" t="s">
        <v>12</v>
      </c>
      <c r="F59" s="2" t="s">
        <v>12</v>
      </c>
      <c r="G59" s="2" t="s">
        <v>12</v>
      </c>
      <c r="H59" s="2" t="s">
        <v>12</v>
      </c>
      <c r="I59" s="2" t="s">
        <v>241</v>
      </c>
    </row>
    <row r="60" spans="1:9" x14ac:dyDescent="0.3">
      <c r="A60" s="1" t="s">
        <v>242</v>
      </c>
      <c r="B60" s="2" t="s">
        <v>243</v>
      </c>
      <c r="C60" s="2" t="s">
        <v>211</v>
      </c>
      <c r="D60" s="2" t="s">
        <v>12</v>
      </c>
      <c r="E60" s="2" t="s">
        <v>244</v>
      </c>
      <c r="F60" s="2" t="s">
        <v>245</v>
      </c>
      <c r="G60" s="2" t="s">
        <v>12</v>
      </c>
      <c r="H60" s="2" t="s">
        <v>12</v>
      </c>
      <c r="I60" s="2" t="s">
        <v>246</v>
      </c>
    </row>
    <row r="61" spans="1:9" x14ac:dyDescent="0.3">
      <c r="A61" s="1" t="s">
        <v>247</v>
      </c>
      <c r="B61" s="2" t="s">
        <v>86</v>
      </c>
      <c r="C61" s="2" t="s">
        <v>248</v>
      </c>
      <c r="D61" s="2" t="s">
        <v>12</v>
      </c>
      <c r="E61" s="2" t="s">
        <v>249</v>
      </c>
      <c r="F61" s="2" t="s">
        <v>12</v>
      </c>
      <c r="G61" s="2" t="s">
        <v>250</v>
      </c>
      <c r="H61" s="2" t="s">
        <v>12</v>
      </c>
      <c r="I61" s="2" t="s">
        <v>251</v>
      </c>
    </row>
    <row r="62" spans="1:9" x14ac:dyDescent="0.3">
      <c r="A62" s="1" t="s">
        <v>252</v>
      </c>
      <c r="B62" s="2" t="s">
        <v>12</v>
      </c>
      <c r="C62" s="2" t="s">
        <v>253</v>
      </c>
      <c r="D62" s="2" t="s">
        <v>12</v>
      </c>
      <c r="E62" s="2" t="s">
        <v>12</v>
      </c>
      <c r="F62" s="2" t="s">
        <v>12</v>
      </c>
      <c r="G62" s="2" t="s">
        <v>12</v>
      </c>
      <c r="H62" s="2" t="s">
        <v>12</v>
      </c>
      <c r="I62" s="2" t="s">
        <v>254</v>
      </c>
    </row>
    <row r="63" spans="1:9" x14ac:dyDescent="0.3">
      <c r="A63" s="1" t="s">
        <v>255</v>
      </c>
      <c r="B63" s="2" t="s">
        <v>108</v>
      </c>
      <c r="C63" s="2" t="s">
        <v>52</v>
      </c>
      <c r="D63" s="2" t="s">
        <v>256</v>
      </c>
      <c r="E63" s="2" t="s">
        <v>12</v>
      </c>
      <c r="F63" s="2" t="s">
        <v>12</v>
      </c>
      <c r="G63" s="2" t="s">
        <v>12</v>
      </c>
      <c r="H63" s="2" t="s">
        <v>12</v>
      </c>
      <c r="I63" s="2" t="s">
        <v>257</v>
      </c>
    </row>
    <row r="64" spans="1:9" x14ac:dyDescent="0.3">
      <c r="A64" s="1" t="s">
        <v>258</v>
      </c>
      <c r="B64" s="2" t="s">
        <v>113</v>
      </c>
      <c r="C64" s="2" t="s">
        <v>233</v>
      </c>
      <c r="D64" s="2" t="s">
        <v>12</v>
      </c>
      <c r="E64" s="2" t="s">
        <v>259</v>
      </c>
      <c r="F64" s="2" t="s">
        <v>260</v>
      </c>
      <c r="G64" s="2" t="s">
        <v>12</v>
      </c>
      <c r="H64" s="2" t="s">
        <v>12</v>
      </c>
      <c r="I64" s="2" t="s">
        <v>261</v>
      </c>
    </row>
    <row r="65" spans="1:9" x14ac:dyDescent="0.3">
      <c r="A65" s="1" t="s">
        <v>262</v>
      </c>
      <c r="B65" s="2" t="s">
        <v>263</v>
      </c>
      <c r="C65" s="2" t="s">
        <v>264</v>
      </c>
      <c r="D65" s="2" t="s">
        <v>12</v>
      </c>
      <c r="E65" s="2" t="s">
        <v>265</v>
      </c>
      <c r="F65" s="2" t="s">
        <v>266</v>
      </c>
      <c r="G65" s="2" t="s">
        <v>12</v>
      </c>
      <c r="H65" s="2" t="s">
        <v>12</v>
      </c>
      <c r="I65" s="2" t="s">
        <v>267</v>
      </c>
    </row>
    <row r="66" spans="1:9" x14ac:dyDescent="0.3">
      <c r="A66" s="1" t="s">
        <v>268</v>
      </c>
      <c r="B66" s="2" t="s">
        <v>12</v>
      </c>
      <c r="C66" s="2" t="s">
        <v>269</v>
      </c>
      <c r="D66" s="2" t="s">
        <v>12</v>
      </c>
      <c r="E66" s="2" t="s">
        <v>12</v>
      </c>
      <c r="F66" s="2" t="s">
        <v>12</v>
      </c>
      <c r="G66" s="2" t="s">
        <v>270</v>
      </c>
      <c r="H66" s="2" t="s">
        <v>12</v>
      </c>
      <c r="I66" s="2" t="s">
        <v>271</v>
      </c>
    </row>
    <row r="67" spans="1:9" x14ac:dyDescent="0.3">
      <c r="A67" s="1" t="s">
        <v>272</v>
      </c>
      <c r="B67" s="2" t="s">
        <v>168</v>
      </c>
      <c r="C67" s="2" t="s">
        <v>273</v>
      </c>
      <c r="D67" s="2" t="s">
        <v>12</v>
      </c>
      <c r="E67" s="2" t="s">
        <v>12</v>
      </c>
      <c r="F67" s="2" t="s">
        <v>12</v>
      </c>
      <c r="G67" s="2" t="s">
        <v>12</v>
      </c>
      <c r="H67" s="2" t="s">
        <v>12</v>
      </c>
      <c r="I67" s="2" t="s">
        <v>274</v>
      </c>
    </row>
    <row r="68" spans="1:9" x14ac:dyDescent="0.3">
      <c r="A68" s="1" t="s">
        <v>275</v>
      </c>
      <c r="B68" s="2" t="s">
        <v>276</v>
      </c>
      <c r="C68" s="2" t="s">
        <v>277</v>
      </c>
      <c r="D68" s="2" t="s">
        <v>12</v>
      </c>
      <c r="E68" s="2" t="s">
        <v>12</v>
      </c>
      <c r="F68" s="2" t="s">
        <v>12</v>
      </c>
      <c r="G68" s="2" t="s">
        <v>12</v>
      </c>
      <c r="H68" s="2" t="s">
        <v>12</v>
      </c>
      <c r="I68" s="2" t="s">
        <v>278</v>
      </c>
    </row>
    <row r="69" spans="1:9" x14ac:dyDescent="0.3">
      <c r="A69" s="1" t="s">
        <v>279</v>
      </c>
      <c r="B69" s="2" t="s">
        <v>19</v>
      </c>
      <c r="C69" s="2" t="s">
        <v>280</v>
      </c>
      <c r="D69" s="2" t="s">
        <v>281</v>
      </c>
      <c r="E69" s="2" t="s">
        <v>12</v>
      </c>
      <c r="F69" s="2" t="s">
        <v>12</v>
      </c>
      <c r="G69" s="2" t="s">
        <v>12</v>
      </c>
      <c r="H69" s="2" t="s">
        <v>12</v>
      </c>
      <c r="I69" s="2" t="s">
        <v>282</v>
      </c>
    </row>
    <row r="70" spans="1:9" x14ac:dyDescent="0.3">
      <c r="A70" s="1" t="s">
        <v>283</v>
      </c>
      <c r="B70" s="2" t="s">
        <v>38</v>
      </c>
      <c r="C70" s="2" t="s">
        <v>16</v>
      </c>
      <c r="D70" s="2" t="s">
        <v>12</v>
      </c>
      <c r="E70" s="2" t="s">
        <v>12</v>
      </c>
      <c r="F70" s="2" t="s">
        <v>12</v>
      </c>
      <c r="G70" s="2" t="s">
        <v>12</v>
      </c>
      <c r="H70" s="2" t="s">
        <v>12</v>
      </c>
      <c r="I70" s="2" t="s">
        <v>131</v>
      </c>
    </row>
    <row r="71" spans="1:9" x14ac:dyDescent="0.3">
      <c r="A71" s="1" t="s">
        <v>284</v>
      </c>
      <c r="B71" s="2" t="s">
        <v>285</v>
      </c>
      <c r="C71" s="2" t="s">
        <v>286</v>
      </c>
      <c r="D71" s="2" t="s">
        <v>12</v>
      </c>
      <c r="E71" s="2" t="s">
        <v>12</v>
      </c>
      <c r="F71" s="2" t="s">
        <v>287</v>
      </c>
      <c r="G71" s="2" t="s">
        <v>12</v>
      </c>
      <c r="H71" s="2" t="s">
        <v>12</v>
      </c>
      <c r="I71" s="2" t="s">
        <v>288</v>
      </c>
    </row>
    <row r="72" spans="1:9" x14ac:dyDescent="0.3">
      <c r="A72" s="1" t="s">
        <v>289</v>
      </c>
      <c r="B72" s="2" t="s">
        <v>125</v>
      </c>
      <c r="C72" s="2" t="s">
        <v>290</v>
      </c>
      <c r="D72" s="2" t="s">
        <v>12</v>
      </c>
      <c r="E72" s="2" t="s">
        <v>12</v>
      </c>
      <c r="F72" s="2" t="s">
        <v>12</v>
      </c>
      <c r="G72" s="2" t="s">
        <v>12</v>
      </c>
      <c r="H72" s="2" t="s">
        <v>12</v>
      </c>
      <c r="I72" s="2" t="s">
        <v>236</v>
      </c>
    </row>
    <row r="73" spans="1:9" x14ac:dyDescent="0.3">
      <c r="A73" s="1" t="s">
        <v>291</v>
      </c>
      <c r="B73" s="2" t="s">
        <v>168</v>
      </c>
      <c r="C73" s="2" t="s">
        <v>292</v>
      </c>
      <c r="D73" s="2" t="s">
        <v>12</v>
      </c>
      <c r="E73" s="2" t="s">
        <v>12</v>
      </c>
      <c r="F73" s="2" t="s">
        <v>293</v>
      </c>
      <c r="G73" s="2" t="s">
        <v>12</v>
      </c>
      <c r="H73" s="2" t="s">
        <v>12</v>
      </c>
      <c r="I73" s="2" t="s">
        <v>294</v>
      </c>
    </row>
    <row r="74" spans="1:9" x14ac:dyDescent="0.3">
      <c r="A74" s="1" t="s">
        <v>295</v>
      </c>
      <c r="B74" s="2" t="s">
        <v>162</v>
      </c>
      <c r="C74" s="2" t="s">
        <v>296</v>
      </c>
      <c r="D74" s="2" t="s">
        <v>297</v>
      </c>
      <c r="E74" s="2" t="s">
        <v>12</v>
      </c>
      <c r="F74" s="2" t="s">
        <v>12</v>
      </c>
      <c r="G74" s="2" t="s">
        <v>12</v>
      </c>
      <c r="H74" s="2" t="s">
        <v>12</v>
      </c>
      <c r="I74" s="2" t="s">
        <v>298</v>
      </c>
    </row>
    <row r="75" spans="1:9" x14ac:dyDescent="0.3">
      <c r="A75" s="1" t="s">
        <v>299</v>
      </c>
      <c r="B75" s="2" t="s">
        <v>15</v>
      </c>
      <c r="C75" s="2" t="s">
        <v>139</v>
      </c>
      <c r="D75" s="2" t="s">
        <v>12</v>
      </c>
      <c r="E75" s="2" t="s">
        <v>12</v>
      </c>
      <c r="F75" s="2" t="s">
        <v>300</v>
      </c>
      <c r="G75" s="2" t="s">
        <v>12</v>
      </c>
      <c r="H75" s="2" t="s">
        <v>12</v>
      </c>
      <c r="I75" s="2" t="s">
        <v>301</v>
      </c>
    </row>
    <row r="76" spans="1:9" x14ac:dyDescent="0.3">
      <c r="A76" s="1" t="s">
        <v>302</v>
      </c>
      <c r="B76" s="2" t="s">
        <v>38</v>
      </c>
      <c r="C76" s="2" t="s">
        <v>39</v>
      </c>
      <c r="D76" s="2" t="s">
        <v>12</v>
      </c>
      <c r="E76" s="2" t="s">
        <v>12</v>
      </c>
      <c r="F76" s="2" t="s">
        <v>12</v>
      </c>
      <c r="G76" s="2" t="s">
        <v>12</v>
      </c>
      <c r="H76" s="2" t="s">
        <v>303</v>
      </c>
      <c r="I76" s="2" t="s">
        <v>304</v>
      </c>
    </row>
    <row r="77" spans="1:9" x14ac:dyDescent="0.3">
      <c r="A77" s="1" t="s">
        <v>305</v>
      </c>
      <c r="B77" s="2" t="s">
        <v>306</v>
      </c>
      <c r="C77" s="2" t="s">
        <v>307</v>
      </c>
      <c r="D77" s="2" t="s">
        <v>70</v>
      </c>
      <c r="E77" s="2" t="s">
        <v>12</v>
      </c>
      <c r="F77" s="2" t="s">
        <v>12</v>
      </c>
      <c r="G77" s="2" t="s">
        <v>12</v>
      </c>
      <c r="H77" s="2" t="s">
        <v>12</v>
      </c>
      <c r="I77" s="2" t="s">
        <v>308</v>
      </c>
    </row>
    <row r="78" spans="1:9" x14ac:dyDescent="0.3">
      <c r="A78" s="1" t="s">
        <v>309</v>
      </c>
      <c r="B78" s="2" t="s">
        <v>310</v>
      </c>
      <c r="C78" s="2" t="s">
        <v>311</v>
      </c>
      <c r="D78" s="2" t="s">
        <v>12</v>
      </c>
      <c r="E78" s="2" t="s">
        <v>12</v>
      </c>
      <c r="F78" s="2" t="s">
        <v>312</v>
      </c>
      <c r="G78" s="2" t="s">
        <v>12</v>
      </c>
      <c r="H78" s="2" t="s">
        <v>313</v>
      </c>
      <c r="I78" s="2" t="s">
        <v>314</v>
      </c>
    </row>
    <row r="79" spans="1:9" x14ac:dyDescent="0.3">
      <c r="A79" s="1" t="s">
        <v>315</v>
      </c>
      <c r="B79" s="2" t="s">
        <v>38</v>
      </c>
      <c r="C79" s="2" t="s">
        <v>316</v>
      </c>
      <c r="D79" s="2" t="s">
        <v>317</v>
      </c>
      <c r="E79" s="2" t="s">
        <v>12</v>
      </c>
      <c r="F79" s="2" t="s">
        <v>318</v>
      </c>
      <c r="G79" s="2" t="s">
        <v>12</v>
      </c>
      <c r="H79" s="2" t="s">
        <v>12</v>
      </c>
      <c r="I79" s="2" t="s">
        <v>319</v>
      </c>
    </row>
    <row r="80" spans="1:9" x14ac:dyDescent="0.3">
      <c r="A80" s="1" t="s">
        <v>320</v>
      </c>
      <c r="B80" s="2" t="s">
        <v>113</v>
      </c>
      <c r="C80" s="2" t="s">
        <v>321</v>
      </c>
      <c r="D80" s="2" t="s">
        <v>12</v>
      </c>
      <c r="E80" s="2" t="s">
        <v>12</v>
      </c>
      <c r="F80" s="2" t="s">
        <v>12</v>
      </c>
      <c r="G80" s="2" t="s">
        <v>12</v>
      </c>
      <c r="H80" s="2" t="s">
        <v>12</v>
      </c>
      <c r="I80" s="2" t="s">
        <v>322</v>
      </c>
    </row>
    <row r="81" spans="1:9" x14ac:dyDescent="0.3">
      <c r="A81" s="1" t="s">
        <v>323</v>
      </c>
      <c r="B81" s="2" t="s">
        <v>324</v>
      </c>
      <c r="C81" s="2" t="s">
        <v>325</v>
      </c>
      <c r="D81" s="2" t="s">
        <v>326</v>
      </c>
      <c r="E81" s="2" t="s">
        <v>12</v>
      </c>
      <c r="F81" s="2" t="s">
        <v>12</v>
      </c>
      <c r="G81" s="2" t="s">
        <v>12</v>
      </c>
      <c r="H81" s="2" t="s">
        <v>12</v>
      </c>
      <c r="I81" s="2" t="s">
        <v>327</v>
      </c>
    </row>
    <row r="82" spans="1:9" x14ac:dyDescent="0.3">
      <c r="A82" s="1" t="s">
        <v>328</v>
      </c>
      <c r="B82" s="2" t="s">
        <v>329</v>
      </c>
      <c r="C82" s="2" t="s">
        <v>330</v>
      </c>
      <c r="D82" s="2" t="s">
        <v>12</v>
      </c>
      <c r="E82" s="2" t="s">
        <v>12</v>
      </c>
      <c r="F82" s="2" t="s">
        <v>331</v>
      </c>
      <c r="G82" s="2" t="s">
        <v>12</v>
      </c>
      <c r="H82" s="2" t="s">
        <v>12</v>
      </c>
      <c r="I82" s="2" t="s">
        <v>332</v>
      </c>
    </row>
    <row r="83" spans="1:9" x14ac:dyDescent="0.3">
      <c r="A83" s="1" t="s">
        <v>333</v>
      </c>
      <c r="B83" s="2" t="s">
        <v>334</v>
      </c>
      <c r="C83" s="2" t="s">
        <v>335</v>
      </c>
      <c r="D83" s="2" t="s">
        <v>12</v>
      </c>
      <c r="E83" s="2" t="s">
        <v>12</v>
      </c>
      <c r="F83" s="2" t="s">
        <v>12</v>
      </c>
      <c r="G83" s="2" t="s">
        <v>12</v>
      </c>
      <c r="H83" s="2" t="s">
        <v>12</v>
      </c>
      <c r="I83" s="2" t="s">
        <v>336</v>
      </c>
    </row>
    <row r="84" spans="1:9" x14ac:dyDescent="0.3">
      <c r="A84" s="1" t="s">
        <v>337</v>
      </c>
      <c r="B84" s="2" t="s">
        <v>12</v>
      </c>
      <c r="C84" s="2" t="s">
        <v>139</v>
      </c>
      <c r="D84" s="2" t="s">
        <v>12</v>
      </c>
      <c r="E84" s="2" t="s">
        <v>12</v>
      </c>
      <c r="F84" s="2" t="s">
        <v>12</v>
      </c>
      <c r="G84" s="2" t="s">
        <v>12</v>
      </c>
      <c r="H84" s="2" t="s">
        <v>12</v>
      </c>
      <c r="I84" s="2" t="s">
        <v>338</v>
      </c>
    </row>
    <row r="85" spans="1:9" x14ac:dyDescent="0.3">
      <c r="A85" s="1" t="s">
        <v>339</v>
      </c>
      <c r="B85" s="2" t="s">
        <v>340</v>
      </c>
      <c r="C85" s="2" t="s">
        <v>147</v>
      </c>
      <c r="D85" s="2" t="s">
        <v>12</v>
      </c>
      <c r="E85" s="2" t="s">
        <v>12</v>
      </c>
      <c r="F85" s="2" t="s">
        <v>12</v>
      </c>
      <c r="G85" s="2" t="s">
        <v>12</v>
      </c>
      <c r="H85" s="2" t="s">
        <v>12</v>
      </c>
      <c r="I85" s="2" t="s">
        <v>341</v>
      </c>
    </row>
    <row r="86" spans="1:9" x14ac:dyDescent="0.3">
      <c r="A86" s="1" t="s">
        <v>342</v>
      </c>
      <c r="B86" s="2" t="s">
        <v>15</v>
      </c>
      <c r="C86" s="2" t="s">
        <v>343</v>
      </c>
      <c r="D86" s="2" t="s">
        <v>12</v>
      </c>
      <c r="E86" s="2" t="s">
        <v>12</v>
      </c>
      <c r="F86" s="2" t="s">
        <v>12</v>
      </c>
      <c r="G86" s="2" t="s">
        <v>12</v>
      </c>
      <c r="H86" s="2" t="s">
        <v>12</v>
      </c>
      <c r="I86" s="2" t="s">
        <v>344</v>
      </c>
    </row>
    <row r="87" spans="1:9" x14ac:dyDescent="0.3">
      <c r="A87" s="1" t="s">
        <v>345</v>
      </c>
      <c r="B87" s="2" t="s">
        <v>346</v>
      </c>
      <c r="C87" s="2" t="s">
        <v>347</v>
      </c>
      <c r="D87" s="2" t="s">
        <v>12</v>
      </c>
      <c r="E87" s="2" t="s">
        <v>12</v>
      </c>
      <c r="F87" s="2" t="s">
        <v>12</v>
      </c>
      <c r="G87" s="2" t="s">
        <v>12</v>
      </c>
      <c r="H87" s="2" t="s">
        <v>348</v>
      </c>
      <c r="I87" s="2" t="s">
        <v>349</v>
      </c>
    </row>
    <row r="88" spans="1:9" x14ac:dyDescent="0.3">
      <c r="A88" s="1" t="s">
        <v>350</v>
      </c>
      <c r="B88" s="2" t="s">
        <v>351</v>
      </c>
      <c r="C88" s="2" t="s">
        <v>290</v>
      </c>
      <c r="D88" s="2" t="s">
        <v>12</v>
      </c>
      <c r="E88" s="2" t="s">
        <v>12</v>
      </c>
      <c r="F88" s="2" t="s">
        <v>12</v>
      </c>
      <c r="G88" s="2" t="s">
        <v>12</v>
      </c>
      <c r="H88" s="2" t="s">
        <v>352</v>
      </c>
      <c r="I88" s="2" t="s">
        <v>353</v>
      </c>
    </row>
    <row r="89" spans="1:9" x14ac:dyDescent="0.3">
      <c r="A89" s="1" t="s">
        <v>354</v>
      </c>
      <c r="B89" s="2" t="s">
        <v>355</v>
      </c>
      <c r="C89" s="2" t="s">
        <v>356</v>
      </c>
      <c r="D89" s="2" t="s">
        <v>12</v>
      </c>
      <c r="E89" s="2" t="s">
        <v>357</v>
      </c>
      <c r="F89" s="2" t="s">
        <v>12</v>
      </c>
      <c r="G89" s="2" t="s">
        <v>12</v>
      </c>
      <c r="H89" s="2" t="s">
        <v>358</v>
      </c>
      <c r="I89" s="2" t="s">
        <v>359</v>
      </c>
    </row>
    <row r="90" spans="1:9" x14ac:dyDescent="0.3">
      <c r="A90" s="1" t="s">
        <v>360</v>
      </c>
      <c r="B90" s="2" t="s">
        <v>361</v>
      </c>
      <c r="C90" s="2" t="s">
        <v>362</v>
      </c>
      <c r="D90" s="2" t="s">
        <v>12</v>
      </c>
      <c r="E90" s="2" t="s">
        <v>363</v>
      </c>
      <c r="F90" s="2" t="s">
        <v>364</v>
      </c>
      <c r="G90" s="2" t="s">
        <v>12</v>
      </c>
      <c r="H90" s="2" t="s">
        <v>365</v>
      </c>
      <c r="I90" s="2" t="s">
        <v>366</v>
      </c>
    </row>
    <row r="91" spans="1:9" x14ac:dyDescent="0.3">
      <c r="A91" s="1" t="s">
        <v>367</v>
      </c>
      <c r="B91" s="2" t="s">
        <v>368</v>
      </c>
      <c r="C91" s="2" t="s">
        <v>126</v>
      </c>
      <c r="D91" s="2" t="s">
        <v>12</v>
      </c>
      <c r="E91" s="2" t="s">
        <v>12</v>
      </c>
      <c r="F91" s="2" t="s">
        <v>12</v>
      </c>
      <c r="G91" s="2" t="s">
        <v>12</v>
      </c>
      <c r="H91" s="2" t="s">
        <v>369</v>
      </c>
      <c r="I91" s="2" t="s">
        <v>370</v>
      </c>
    </row>
    <row r="92" spans="1:9" x14ac:dyDescent="0.3">
      <c r="A92" s="1" t="s">
        <v>371</v>
      </c>
      <c r="B92" s="2" t="s">
        <v>38</v>
      </c>
      <c r="C92" s="2" t="s">
        <v>52</v>
      </c>
      <c r="D92" s="2" t="s">
        <v>12</v>
      </c>
      <c r="E92" s="2" t="s">
        <v>372</v>
      </c>
      <c r="F92" s="2" t="s">
        <v>12</v>
      </c>
      <c r="G92" s="2" t="s">
        <v>12</v>
      </c>
      <c r="H92" s="2" t="s">
        <v>12</v>
      </c>
      <c r="I92" s="2" t="s">
        <v>373</v>
      </c>
    </row>
    <row r="93" spans="1:9" x14ac:dyDescent="0.3">
      <c r="A93" s="1" t="s">
        <v>374</v>
      </c>
      <c r="B93" s="2" t="s">
        <v>12</v>
      </c>
      <c r="C93" s="2" t="s">
        <v>375</v>
      </c>
      <c r="D93" s="2" t="s">
        <v>12</v>
      </c>
      <c r="E93" s="2" t="s">
        <v>12</v>
      </c>
      <c r="F93" s="2" t="s">
        <v>376</v>
      </c>
      <c r="G93" s="2" t="s">
        <v>377</v>
      </c>
      <c r="H93" s="2" t="s">
        <v>12</v>
      </c>
      <c r="I93" s="2" t="s">
        <v>378</v>
      </c>
    </row>
    <row r="94" spans="1:9" x14ac:dyDescent="0.3">
      <c r="A94" s="1" t="s">
        <v>379</v>
      </c>
      <c r="B94" s="2" t="s">
        <v>380</v>
      </c>
      <c r="C94" s="2" t="s">
        <v>271</v>
      </c>
      <c r="D94" s="2" t="s">
        <v>12</v>
      </c>
      <c r="E94" s="2" t="s">
        <v>12</v>
      </c>
      <c r="F94" s="2" t="s">
        <v>12</v>
      </c>
      <c r="G94" s="2" t="s">
        <v>12</v>
      </c>
      <c r="H94" s="2" t="s">
        <v>12</v>
      </c>
      <c r="I94" s="2" t="s">
        <v>207</v>
      </c>
    </row>
    <row r="95" spans="1:9" x14ac:dyDescent="0.3">
      <c r="A95" s="1" t="s">
        <v>381</v>
      </c>
      <c r="B95" s="2" t="s">
        <v>351</v>
      </c>
      <c r="C95" s="2" t="s">
        <v>382</v>
      </c>
      <c r="D95" s="2" t="s">
        <v>12</v>
      </c>
      <c r="E95" s="2" t="s">
        <v>12</v>
      </c>
      <c r="F95" s="2" t="s">
        <v>383</v>
      </c>
      <c r="G95" s="2" t="s">
        <v>12</v>
      </c>
      <c r="H95" s="2" t="s">
        <v>384</v>
      </c>
      <c r="I95" s="2" t="s">
        <v>385</v>
      </c>
    </row>
    <row r="96" spans="1:9" x14ac:dyDescent="0.3">
      <c r="A96" s="1" t="s">
        <v>386</v>
      </c>
      <c r="B96" s="2" t="s">
        <v>24</v>
      </c>
      <c r="C96" s="2" t="s">
        <v>387</v>
      </c>
      <c r="D96" s="2" t="s">
        <v>12</v>
      </c>
      <c r="E96" s="2" t="s">
        <v>12</v>
      </c>
      <c r="F96" s="2" t="s">
        <v>388</v>
      </c>
      <c r="G96" s="2" t="s">
        <v>12</v>
      </c>
      <c r="H96" s="2" t="s">
        <v>389</v>
      </c>
      <c r="I96" s="2" t="s">
        <v>390</v>
      </c>
    </row>
    <row r="97" spans="1:9" x14ac:dyDescent="0.3">
      <c r="A97" s="1" t="s">
        <v>391</v>
      </c>
      <c r="B97" s="2" t="s">
        <v>392</v>
      </c>
      <c r="C97" s="2" t="s">
        <v>393</v>
      </c>
      <c r="D97" s="2" t="s">
        <v>12</v>
      </c>
      <c r="E97" s="2" t="s">
        <v>12</v>
      </c>
      <c r="F97" s="2" t="s">
        <v>12</v>
      </c>
      <c r="G97" s="2" t="s">
        <v>394</v>
      </c>
      <c r="H97" s="2" t="s">
        <v>12</v>
      </c>
      <c r="I97" s="2" t="s">
        <v>395</v>
      </c>
    </row>
    <row r="98" spans="1:9" x14ac:dyDescent="0.3">
      <c r="A98" s="1" t="s">
        <v>396</v>
      </c>
      <c r="B98" s="2" t="s">
        <v>202</v>
      </c>
      <c r="C98" s="2" t="s">
        <v>397</v>
      </c>
      <c r="D98" s="2" t="s">
        <v>12</v>
      </c>
      <c r="E98" s="2" t="s">
        <v>12</v>
      </c>
      <c r="F98" s="2" t="s">
        <v>12</v>
      </c>
      <c r="G98" s="2" t="s">
        <v>12</v>
      </c>
      <c r="H98" s="2" t="s">
        <v>398</v>
      </c>
      <c r="I98" s="2" t="s">
        <v>399</v>
      </c>
    </row>
    <row r="99" spans="1:9" x14ac:dyDescent="0.3">
      <c r="A99" s="1" t="s">
        <v>400</v>
      </c>
      <c r="B99" s="2" t="s">
        <v>401</v>
      </c>
      <c r="C99" s="2" t="s">
        <v>402</v>
      </c>
      <c r="D99" s="2" t="s">
        <v>12</v>
      </c>
      <c r="E99" s="2" t="s">
        <v>403</v>
      </c>
      <c r="F99" s="2" t="s">
        <v>12</v>
      </c>
      <c r="G99" s="2" t="s">
        <v>12</v>
      </c>
      <c r="H99" s="2" t="s">
        <v>12</v>
      </c>
      <c r="I99" s="2" t="s">
        <v>404</v>
      </c>
    </row>
    <row r="100" spans="1:9" x14ac:dyDescent="0.3">
      <c r="A100" s="1" t="s">
        <v>405</v>
      </c>
      <c r="B100" s="2" t="s">
        <v>232</v>
      </c>
      <c r="C100" s="2" t="s">
        <v>240</v>
      </c>
      <c r="D100" s="2" t="s">
        <v>12</v>
      </c>
      <c r="E100" s="2" t="s">
        <v>12</v>
      </c>
      <c r="F100" s="2" t="s">
        <v>12</v>
      </c>
      <c r="G100" s="2" t="s">
        <v>12</v>
      </c>
      <c r="H100" s="2" t="s">
        <v>12</v>
      </c>
      <c r="I100" s="2" t="s">
        <v>406</v>
      </c>
    </row>
    <row r="101" spans="1:9" x14ac:dyDescent="0.3">
      <c r="A101" s="1" t="s">
        <v>407</v>
      </c>
      <c r="B101" s="2" t="s">
        <v>408</v>
      </c>
      <c r="C101" s="2" t="s">
        <v>409</v>
      </c>
      <c r="D101" s="2" t="s">
        <v>12</v>
      </c>
      <c r="E101" s="2" t="s">
        <v>12</v>
      </c>
      <c r="F101" s="2" t="s">
        <v>12</v>
      </c>
      <c r="G101" s="2" t="s">
        <v>12</v>
      </c>
      <c r="H101" s="2" t="s">
        <v>12</v>
      </c>
      <c r="I101" s="2" t="s">
        <v>207</v>
      </c>
    </row>
    <row r="102" spans="1:9" x14ac:dyDescent="0.3">
      <c r="A102" s="1" t="s">
        <v>410</v>
      </c>
      <c r="B102" s="2" t="s">
        <v>411</v>
      </c>
      <c r="C102" s="2" t="s">
        <v>412</v>
      </c>
      <c r="D102" s="2" t="s">
        <v>12</v>
      </c>
      <c r="E102" s="2" t="s">
        <v>413</v>
      </c>
      <c r="F102" s="2" t="s">
        <v>12</v>
      </c>
      <c r="G102" s="2" t="s">
        <v>12</v>
      </c>
      <c r="H102" s="2" t="s">
        <v>414</v>
      </c>
      <c r="I102" s="2" t="s">
        <v>41</v>
      </c>
    </row>
    <row r="103" spans="1:9" x14ac:dyDescent="0.3">
      <c r="A103" s="1" t="s">
        <v>415</v>
      </c>
      <c r="B103" s="2" t="s">
        <v>125</v>
      </c>
      <c r="C103" s="2" t="s">
        <v>393</v>
      </c>
      <c r="D103" s="2" t="s">
        <v>12</v>
      </c>
      <c r="E103" s="2" t="s">
        <v>12</v>
      </c>
      <c r="F103" s="2" t="s">
        <v>12</v>
      </c>
      <c r="G103" s="2" t="s">
        <v>12</v>
      </c>
      <c r="H103" s="2" t="s">
        <v>416</v>
      </c>
      <c r="I103" s="2" t="s">
        <v>417</v>
      </c>
    </row>
    <row r="104" spans="1:9" x14ac:dyDescent="0.3">
      <c r="A104" s="1" t="s">
        <v>418</v>
      </c>
      <c r="B104" s="2" t="s">
        <v>419</v>
      </c>
      <c r="C104" s="2" t="s">
        <v>420</v>
      </c>
      <c r="D104" s="2" t="s">
        <v>12</v>
      </c>
      <c r="E104" s="2" t="s">
        <v>12</v>
      </c>
      <c r="F104" s="2" t="s">
        <v>12</v>
      </c>
      <c r="G104" s="2" t="s">
        <v>12</v>
      </c>
      <c r="H104" s="2" t="s">
        <v>421</v>
      </c>
      <c r="I104" s="2" t="s">
        <v>422</v>
      </c>
    </row>
    <row r="105" spans="1:9" x14ac:dyDescent="0.3">
      <c r="A105" s="1" t="s">
        <v>423</v>
      </c>
      <c r="B105" s="2" t="s">
        <v>424</v>
      </c>
      <c r="C105" s="2" t="s">
        <v>109</v>
      </c>
      <c r="D105" s="2" t="s">
        <v>425</v>
      </c>
      <c r="E105" s="2" t="s">
        <v>12</v>
      </c>
      <c r="F105" s="2" t="s">
        <v>426</v>
      </c>
      <c r="G105" s="2" t="s">
        <v>12</v>
      </c>
      <c r="H105" s="2" t="s">
        <v>427</v>
      </c>
      <c r="I105" s="2" t="s">
        <v>428</v>
      </c>
    </row>
    <row r="106" spans="1:9" x14ac:dyDescent="0.3">
      <c r="A106" s="1" t="s">
        <v>429</v>
      </c>
      <c r="B106" s="2" t="s">
        <v>430</v>
      </c>
      <c r="C106" s="2" t="s">
        <v>431</v>
      </c>
      <c r="D106" s="2" t="s">
        <v>12</v>
      </c>
      <c r="E106" s="2" t="s">
        <v>12</v>
      </c>
      <c r="F106" s="2" t="s">
        <v>12</v>
      </c>
      <c r="G106" s="2" t="s">
        <v>12</v>
      </c>
      <c r="H106" s="2" t="s">
        <v>12</v>
      </c>
      <c r="I106" s="2" t="s">
        <v>432</v>
      </c>
    </row>
    <row r="107" spans="1:9" x14ac:dyDescent="0.3">
      <c r="A107" s="1" t="s">
        <v>433</v>
      </c>
      <c r="B107" s="2" t="s">
        <v>225</v>
      </c>
      <c r="C107" s="2" t="s">
        <v>434</v>
      </c>
      <c r="D107" s="2" t="s">
        <v>12</v>
      </c>
      <c r="E107" s="2" t="s">
        <v>12</v>
      </c>
      <c r="F107" s="2" t="s">
        <v>12</v>
      </c>
      <c r="G107" s="2" t="s">
        <v>12</v>
      </c>
      <c r="H107" s="2" t="s">
        <v>435</v>
      </c>
      <c r="I107" s="2" t="s">
        <v>436</v>
      </c>
    </row>
    <row r="108" spans="1:9" x14ac:dyDescent="0.3">
      <c r="A108" s="1" t="s">
        <v>437</v>
      </c>
      <c r="B108" s="2" t="s">
        <v>174</v>
      </c>
      <c r="C108" s="2" t="s">
        <v>151</v>
      </c>
      <c r="D108" s="2" t="s">
        <v>438</v>
      </c>
      <c r="E108" s="2" t="s">
        <v>12</v>
      </c>
      <c r="F108" s="2" t="s">
        <v>12</v>
      </c>
      <c r="G108" s="2" t="s">
        <v>12</v>
      </c>
      <c r="H108" s="2" t="s">
        <v>12</v>
      </c>
      <c r="I108" s="2" t="s">
        <v>439</v>
      </c>
    </row>
    <row r="109" spans="1:9" x14ac:dyDescent="0.3">
      <c r="A109" s="1" t="s">
        <v>440</v>
      </c>
      <c r="B109" s="2" t="s">
        <v>441</v>
      </c>
      <c r="C109" s="2" t="s">
        <v>442</v>
      </c>
      <c r="D109" s="2" t="s">
        <v>12</v>
      </c>
      <c r="E109" s="2" t="s">
        <v>12</v>
      </c>
      <c r="F109" s="2" t="s">
        <v>12</v>
      </c>
      <c r="G109" s="2" t="s">
        <v>12</v>
      </c>
      <c r="H109" s="2" t="s">
        <v>12</v>
      </c>
      <c r="I109" s="2" t="s">
        <v>443</v>
      </c>
    </row>
    <row r="110" spans="1:9" x14ac:dyDescent="0.3">
      <c r="A110" s="1" t="s">
        <v>444</v>
      </c>
      <c r="B110" s="2" t="s">
        <v>82</v>
      </c>
      <c r="C110" s="2" t="s">
        <v>126</v>
      </c>
      <c r="D110" s="2" t="s">
        <v>12</v>
      </c>
      <c r="E110" s="2" t="s">
        <v>12</v>
      </c>
      <c r="F110" s="2" t="s">
        <v>12</v>
      </c>
      <c r="G110" s="2" t="s">
        <v>12</v>
      </c>
      <c r="H110" s="2" t="s">
        <v>12</v>
      </c>
      <c r="I110" s="2" t="s">
        <v>445</v>
      </c>
    </row>
    <row r="111" spans="1:9" x14ac:dyDescent="0.3">
      <c r="A111" s="1" t="s">
        <v>446</v>
      </c>
      <c r="B111" s="2" t="s">
        <v>447</v>
      </c>
      <c r="C111" s="2" t="s">
        <v>448</v>
      </c>
      <c r="D111" s="2" t="s">
        <v>12</v>
      </c>
      <c r="E111" s="2" t="s">
        <v>12</v>
      </c>
      <c r="F111" s="2" t="s">
        <v>12</v>
      </c>
      <c r="G111" s="2" t="s">
        <v>12</v>
      </c>
      <c r="H111" s="2" t="s">
        <v>12</v>
      </c>
      <c r="I111" s="2" t="s">
        <v>449</v>
      </c>
    </row>
    <row r="112" spans="1:9" x14ac:dyDescent="0.3">
      <c r="A112" s="1" t="s">
        <v>450</v>
      </c>
      <c r="B112" s="2" t="s">
        <v>19</v>
      </c>
      <c r="C112" s="2" t="s">
        <v>451</v>
      </c>
      <c r="D112" s="2" t="s">
        <v>12</v>
      </c>
      <c r="E112" s="2" t="s">
        <v>12</v>
      </c>
      <c r="F112" s="2" t="s">
        <v>12</v>
      </c>
      <c r="G112" s="2" t="s">
        <v>12</v>
      </c>
      <c r="H112" s="2" t="s">
        <v>452</v>
      </c>
      <c r="I112" s="2" t="s">
        <v>453</v>
      </c>
    </row>
    <row r="113" spans="1:9" x14ac:dyDescent="0.3">
      <c r="A113" s="1" t="s">
        <v>454</v>
      </c>
      <c r="B113" s="2" t="s">
        <v>455</v>
      </c>
      <c r="C113" s="2" t="s">
        <v>29</v>
      </c>
      <c r="D113" s="2" t="s">
        <v>12</v>
      </c>
      <c r="E113" s="2" t="s">
        <v>12</v>
      </c>
      <c r="F113" s="2" t="s">
        <v>12</v>
      </c>
      <c r="G113" s="2" t="s">
        <v>12</v>
      </c>
      <c r="H113" s="2" t="s">
        <v>12</v>
      </c>
      <c r="I113" s="2" t="s">
        <v>456</v>
      </c>
    </row>
    <row r="114" spans="1:9" x14ac:dyDescent="0.3">
      <c r="A114" s="1" t="s">
        <v>457</v>
      </c>
      <c r="B114" s="2" t="s">
        <v>458</v>
      </c>
      <c r="C114" s="2" t="s">
        <v>459</v>
      </c>
      <c r="D114" s="2" t="s">
        <v>12</v>
      </c>
      <c r="E114" s="2" t="s">
        <v>12</v>
      </c>
      <c r="F114" s="2" t="s">
        <v>12</v>
      </c>
      <c r="G114" s="2" t="s">
        <v>12</v>
      </c>
      <c r="H114" s="2" t="s">
        <v>12</v>
      </c>
      <c r="I114" s="2" t="s">
        <v>460</v>
      </c>
    </row>
    <row r="115" spans="1:9" x14ac:dyDescent="0.3">
      <c r="A115" s="1" t="s">
        <v>461</v>
      </c>
      <c r="B115" s="2" t="s">
        <v>361</v>
      </c>
      <c r="C115" s="2" t="s">
        <v>264</v>
      </c>
      <c r="D115" s="2" t="s">
        <v>12</v>
      </c>
      <c r="E115" s="2" t="s">
        <v>12</v>
      </c>
      <c r="F115" s="2" t="s">
        <v>12</v>
      </c>
      <c r="G115" s="2" t="s">
        <v>376</v>
      </c>
      <c r="H115" s="2" t="s">
        <v>462</v>
      </c>
      <c r="I115" s="2" t="s">
        <v>463</v>
      </c>
    </row>
    <row r="116" spans="1:9" x14ac:dyDescent="0.3">
      <c r="A116" s="1" t="s">
        <v>464</v>
      </c>
      <c r="B116" s="2" t="s">
        <v>202</v>
      </c>
      <c r="C116" s="2" t="s">
        <v>271</v>
      </c>
      <c r="D116" s="2" t="s">
        <v>12</v>
      </c>
      <c r="E116" s="2" t="s">
        <v>12</v>
      </c>
      <c r="F116" s="2" t="s">
        <v>12</v>
      </c>
      <c r="G116" s="2" t="s">
        <v>12</v>
      </c>
      <c r="H116" s="2" t="s">
        <v>12</v>
      </c>
      <c r="I116" s="2" t="s">
        <v>465</v>
      </c>
    </row>
    <row r="117" spans="1:9" x14ac:dyDescent="0.3">
      <c r="A117" s="1" t="s">
        <v>466</v>
      </c>
      <c r="B117" s="2" t="s">
        <v>467</v>
      </c>
      <c r="C117" s="2" t="s">
        <v>338</v>
      </c>
      <c r="D117" s="2" t="s">
        <v>12</v>
      </c>
      <c r="E117" s="2" t="s">
        <v>12</v>
      </c>
      <c r="F117" s="2" t="s">
        <v>12</v>
      </c>
      <c r="G117" s="2" t="s">
        <v>12</v>
      </c>
      <c r="H117" s="2" t="s">
        <v>12</v>
      </c>
      <c r="I117" s="2" t="s">
        <v>26</v>
      </c>
    </row>
    <row r="118" spans="1:9" x14ac:dyDescent="0.3">
      <c r="A118" s="1" t="s">
        <v>468</v>
      </c>
      <c r="B118" s="2" t="s">
        <v>469</v>
      </c>
      <c r="C118" s="2" t="s">
        <v>470</v>
      </c>
      <c r="D118" s="2" t="s">
        <v>12</v>
      </c>
      <c r="E118" s="2" t="s">
        <v>12</v>
      </c>
      <c r="F118" s="2" t="s">
        <v>12</v>
      </c>
      <c r="G118" s="2" t="s">
        <v>12</v>
      </c>
      <c r="H118" s="2" t="s">
        <v>12</v>
      </c>
      <c r="I118" s="2" t="s">
        <v>471</v>
      </c>
    </row>
    <row r="119" spans="1:9" x14ac:dyDescent="0.3">
      <c r="A119" s="1" t="s">
        <v>472</v>
      </c>
      <c r="B119" s="2" t="s">
        <v>473</v>
      </c>
      <c r="C119" s="2" t="s">
        <v>271</v>
      </c>
      <c r="D119" s="2" t="s">
        <v>12</v>
      </c>
      <c r="E119" s="2" t="s">
        <v>12</v>
      </c>
      <c r="F119" s="2" t="s">
        <v>12</v>
      </c>
      <c r="G119" s="2" t="s">
        <v>12</v>
      </c>
      <c r="H119" s="2" t="s">
        <v>474</v>
      </c>
      <c r="I119" s="2" t="s">
        <v>475</v>
      </c>
    </row>
    <row r="120" spans="1:9" x14ac:dyDescent="0.3">
      <c r="A120" s="1" t="s">
        <v>476</v>
      </c>
      <c r="B120" s="2" t="s">
        <v>477</v>
      </c>
      <c r="C120" s="2" t="s">
        <v>478</v>
      </c>
      <c r="D120" s="2" t="s">
        <v>12</v>
      </c>
      <c r="E120" s="2" t="s">
        <v>12</v>
      </c>
      <c r="F120" s="2" t="s">
        <v>12</v>
      </c>
      <c r="G120" s="2" t="s">
        <v>12</v>
      </c>
      <c r="H120" s="2" t="s">
        <v>479</v>
      </c>
      <c r="I120" s="2" t="s">
        <v>480</v>
      </c>
    </row>
    <row r="121" spans="1:9" x14ac:dyDescent="0.3">
      <c r="A121" s="1" t="s">
        <v>481</v>
      </c>
      <c r="B121" s="2" t="s">
        <v>482</v>
      </c>
      <c r="C121" s="2" t="s">
        <v>155</v>
      </c>
      <c r="D121" s="2" t="s">
        <v>12</v>
      </c>
      <c r="E121" s="2" t="s">
        <v>12</v>
      </c>
      <c r="F121" s="2" t="s">
        <v>12</v>
      </c>
      <c r="G121" s="2" t="s">
        <v>12</v>
      </c>
      <c r="H121" s="2" t="s">
        <v>12</v>
      </c>
      <c r="I121" s="2" t="s">
        <v>483</v>
      </c>
    </row>
    <row r="122" spans="1:9" x14ac:dyDescent="0.3">
      <c r="A122" s="1" t="s">
        <v>484</v>
      </c>
      <c r="B122" s="2" t="s">
        <v>346</v>
      </c>
      <c r="C122" s="2" t="s">
        <v>485</v>
      </c>
      <c r="D122" s="2" t="s">
        <v>12</v>
      </c>
      <c r="E122" s="2" t="s">
        <v>12</v>
      </c>
      <c r="F122" s="2" t="s">
        <v>486</v>
      </c>
      <c r="G122" s="2" t="s">
        <v>12</v>
      </c>
      <c r="H122" s="2" t="s">
        <v>12</v>
      </c>
      <c r="I122" s="2" t="s">
        <v>487</v>
      </c>
    </row>
    <row r="123" spans="1:9" x14ac:dyDescent="0.3">
      <c r="A123" s="1" t="s">
        <v>488</v>
      </c>
      <c r="B123" s="2" t="s">
        <v>489</v>
      </c>
      <c r="C123" s="2" t="s">
        <v>490</v>
      </c>
      <c r="D123" s="2" t="s">
        <v>491</v>
      </c>
      <c r="E123" s="2" t="s">
        <v>12</v>
      </c>
      <c r="F123" s="2" t="s">
        <v>12</v>
      </c>
      <c r="G123" s="2" t="s">
        <v>12</v>
      </c>
      <c r="H123" s="2" t="s">
        <v>492</v>
      </c>
      <c r="I123" s="2" t="s">
        <v>493</v>
      </c>
    </row>
    <row r="124" spans="1:9" x14ac:dyDescent="0.3">
      <c r="A124" s="1" t="s">
        <v>494</v>
      </c>
      <c r="B124" s="2" t="s">
        <v>489</v>
      </c>
      <c r="C124" s="2" t="s">
        <v>130</v>
      </c>
      <c r="D124" s="2" t="s">
        <v>12</v>
      </c>
      <c r="E124" s="2" t="s">
        <v>12</v>
      </c>
      <c r="F124" s="2" t="s">
        <v>12</v>
      </c>
      <c r="G124" s="2" t="s">
        <v>12</v>
      </c>
      <c r="H124" s="2" t="s">
        <v>12</v>
      </c>
      <c r="I124" s="2" t="s">
        <v>17</v>
      </c>
    </row>
    <row r="125" spans="1:9" x14ac:dyDescent="0.3">
      <c r="A125" s="1" t="s">
        <v>495</v>
      </c>
      <c r="B125" s="2" t="s">
        <v>496</v>
      </c>
      <c r="C125" s="2" t="s">
        <v>78</v>
      </c>
      <c r="D125" s="2" t="s">
        <v>12</v>
      </c>
      <c r="E125" s="2" t="s">
        <v>12</v>
      </c>
      <c r="F125" s="2" t="s">
        <v>12</v>
      </c>
      <c r="G125" s="2" t="s">
        <v>12</v>
      </c>
      <c r="H125" s="2" t="s">
        <v>12</v>
      </c>
      <c r="I125" s="2" t="s">
        <v>497</v>
      </c>
    </row>
    <row r="126" spans="1:9" x14ac:dyDescent="0.3">
      <c r="A126" s="1" t="s">
        <v>498</v>
      </c>
      <c r="B126" s="2" t="s">
        <v>499</v>
      </c>
      <c r="C126" s="2" t="s">
        <v>500</v>
      </c>
      <c r="D126" s="2" t="s">
        <v>12</v>
      </c>
      <c r="E126" s="2" t="s">
        <v>12</v>
      </c>
      <c r="F126" s="2" t="s">
        <v>12</v>
      </c>
      <c r="G126" s="2" t="s">
        <v>12</v>
      </c>
      <c r="H126" s="2" t="s">
        <v>126</v>
      </c>
      <c r="I126" s="2" t="s">
        <v>501</v>
      </c>
    </row>
    <row r="127" spans="1:9" x14ac:dyDescent="0.3">
      <c r="A127" s="1" t="s">
        <v>502</v>
      </c>
      <c r="B127" s="2" t="s">
        <v>503</v>
      </c>
      <c r="C127" s="2" t="s">
        <v>504</v>
      </c>
      <c r="D127" s="2" t="s">
        <v>12</v>
      </c>
      <c r="E127" s="2" t="s">
        <v>12</v>
      </c>
      <c r="F127" s="2" t="s">
        <v>505</v>
      </c>
      <c r="G127" s="2" t="s">
        <v>12</v>
      </c>
      <c r="H127" s="2" t="s">
        <v>12</v>
      </c>
      <c r="I127" s="2" t="s">
        <v>506</v>
      </c>
    </row>
    <row r="128" spans="1:9" x14ac:dyDescent="0.3">
      <c r="A128" s="1" t="s">
        <v>507</v>
      </c>
      <c r="B128" s="2" t="s">
        <v>489</v>
      </c>
      <c r="C128" s="2" t="s">
        <v>508</v>
      </c>
      <c r="D128" s="2" t="s">
        <v>12</v>
      </c>
      <c r="E128" s="2" t="s">
        <v>509</v>
      </c>
      <c r="F128" s="2" t="s">
        <v>12</v>
      </c>
      <c r="G128" s="2" t="s">
        <v>12</v>
      </c>
      <c r="H128" s="2" t="s">
        <v>12</v>
      </c>
      <c r="I128" s="2" t="s">
        <v>510</v>
      </c>
    </row>
    <row r="129" spans="1:9" x14ac:dyDescent="0.3">
      <c r="A129" s="1" t="s">
        <v>511</v>
      </c>
      <c r="B129" s="2" t="s">
        <v>162</v>
      </c>
      <c r="C129" s="2" t="s">
        <v>512</v>
      </c>
      <c r="D129" s="2" t="s">
        <v>12</v>
      </c>
      <c r="E129" s="2" t="s">
        <v>12</v>
      </c>
      <c r="F129" s="2" t="s">
        <v>12</v>
      </c>
      <c r="G129" s="2" t="s">
        <v>513</v>
      </c>
      <c r="H129" s="2" t="s">
        <v>12</v>
      </c>
      <c r="I129" s="2" t="s">
        <v>514</v>
      </c>
    </row>
    <row r="130" spans="1:9" x14ac:dyDescent="0.3">
      <c r="A130" s="1" t="s">
        <v>515</v>
      </c>
      <c r="B130" s="2" t="s">
        <v>118</v>
      </c>
      <c r="C130" s="2" t="s">
        <v>516</v>
      </c>
      <c r="D130" s="2" t="s">
        <v>12</v>
      </c>
      <c r="E130" s="2" t="s">
        <v>517</v>
      </c>
      <c r="F130" s="2" t="s">
        <v>518</v>
      </c>
      <c r="G130" s="2" t="s">
        <v>12</v>
      </c>
      <c r="H130" s="2" t="s">
        <v>12</v>
      </c>
      <c r="I130" s="2" t="s">
        <v>519</v>
      </c>
    </row>
    <row r="131" spans="1:9" x14ac:dyDescent="0.3">
      <c r="A131" s="1" t="s">
        <v>520</v>
      </c>
      <c r="B131" s="2" t="s">
        <v>19</v>
      </c>
      <c r="C131" s="2" t="s">
        <v>521</v>
      </c>
      <c r="D131" s="2" t="s">
        <v>12</v>
      </c>
      <c r="E131" s="2" t="s">
        <v>12</v>
      </c>
      <c r="F131" s="2" t="s">
        <v>12</v>
      </c>
      <c r="G131" s="2" t="s">
        <v>12</v>
      </c>
      <c r="H131" s="2" t="s">
        <v>12</v>
      </c>
      <c r="I131" s="2" t="s">
        <v>522</v>
      </c>
    </row>
    <row r="132" spans="1:9" x14ac:dyDescent="0.3">
      <c r="A132" s="1" t="s">
        <v>523</v>
      </c>
      <c r="B132" s="2" t="s">
        <v>168</v>
      </c>
      <c r="C132" s="2" t="s">
        <v>512</v>
      </c>
      <c r="D132" s="2" t="s">
        <v>12</v>
      </c>
      <c r="E132" s="2" t="s">
        <v>12</v>
      </c>
      <c r="F132" s="2" t="s">
        <v>12</v>
      </c>
      <c r="G132" s="2" t="s">
        <v>12</v>
      </c>
      <c r="H132" s="2" t="s">
        <v>524</v>
      </c>
      <c r="I132" s="2" t="s">
        <v>525</v>
      </c>
    </row>
    <row r="133" spans="1:9" x14ac:dyDescent="0.3">
      <c r="A133" s="1" t="s">
        <v>526</v>
      </c>
      <c r="B133" s="2" t="s">
        <v>59</v>
      </c>
      <c r="C133" s="2" t="s">
        <v>527</v>
      </c>
      <c r="D133" s="2" t="s">
        <v>12</v>
      </c>
      <c r="E133" s="2" t="s">
        <v>12</v>
      </c>
      <c r="F133" s="2" t="s">
        <v>12</v>
      </c>
      <c r="G133" s="2" t="s">
        <v>12</v>
      </c>
      <c r="H133" s="2" t="s">
        <v>528</v>
      </c>
      <c r="I133" s="2" t="s">
        <v>529</v>
      </c>
    </row>
    <row r="134" spans="1:9" x14ac:dyDescent="0.3">
      <c r="A134" s="1" t="s">
        <v>530</v>
      </c>
      <c r="B134" s="2" t="s">
        <v>531</v>
      </c>
      <c r="C134" s="2" t="s">
        <v>532</v>
      </c>
      <c r="D134" s="2" t="s">
        <v>12</v>
      </c>
      <c r="E134" s="2" t="s">
        <v>12</v>
      </c>
      <c r="F134" s="2" t="s">
        <v>12</v>
      </c>
      <c r="G134" s="2" t="s">
        <v>12</v>
      </c>
      <c r="H134" s="2" t="s">
        <v>12</v>
      </c>
      <c r="I134" s="2" t="s">
        <v>533</v>
      </c>
    </row>
    <row r="135" spans="1:9" x14ac:dyDescent="0.3">
      <c r="A135" s="1" t="s">
        <v>534</v>
      </c>
      <c r="B135" s="2" t="s">
        <v>535</v>
      </c>
      <c r="C135" s="2" t="s">
        <v>536</v>
      </c>
      <c r="D135" s="2" t="s">
        <v>376</v>
      </c>
      <c r="E135" s="2" t="s">
        <v>12</v>
      </c>
      <c r="F135" s="2" t="s">
        <v>12</v>
      </c>
      <c r="G135" s="2" t="s">
        <v>537</v>
      </c>
      <c r="H135" s="2" t="s">
        <v>538</v>
      </c>
      <c r="I135" s="2" t="s">
        <v>539</v>
      </c>
    </row>
    <row r="136" spans="1:9" x14ac:dyDescent="0.3">
      <c r="A136" s="1" t="s">
        <v>540</v>
      </c>
      <c r="B136" s="2" t="s">
        <v>541</v>
      </c>
      <c r="C136" s="2" t="s">
        <v>280</v>
      </c>
      <c r="D136" s="2" t="s">
        <v>542</v>
      </c>
      <c r="E136" s="2" t="s">
        <v>12</v>
      </c>
      <c r="F136" s="2" t="s">
        <v>12</v>
      </c>
      <c r="G136" s="2" t="s">
        <v>12</v>
      </c>
      <c r="H136" s="2" t="s">
        <v>12</v>
      </c>
      <c r="I136" s="2" t="s">
        <v>543</v>
      </c>
    </row>
    <row r="137" spans="1:9" x14ac:dyDescent="0.3">
      <c r="A137" s="1" t="s">
        <v>544</v>
      </c>
      <c r="B137" s="2" t="s">
        <v>545</v>
      </c>
      <c r="C137" s="2" t="s">
        <v>546</v>
      </c>
      <c r="D137" s="2" t="s">
        <v>12</v>
      </c>
      <c r="E137" s="2" t="s">
        <v>547</v>
      </c>
      <c r="F137" s="2" t="s">
        <v>12</v>
      </c>
      <c r="G137" s="2" t="s">
        <v>12</v>
      </c>
      <c r="H137" s="2" t="s">
        <v>12</v>
      </c>
      <c r="I137" s="2" t="s">
        <v>548</v>
      </c>
    </row>
    <row r="138" spans="1:9" x14ac:dyDescent="0.3">
      <c r="A138" s="1" t="s">
        <v>549</v>
      </c>
      <c r="B138" s="2" t="s">
        <v>550</v>
      </c>
      <c r="C138" s="2" t="s">
        <v>551</v>
      </c>
      <c r="D138" s="2" t="s">
        <v>12</v>
      </c>
      <c r="E138" s="2" t="s">
        <v>12</v>
      </c>
      <c r="F138" s="2" t="s">
        <v>12</v>
      </c>
      <c r="G138" s="2" t="s">
        <v>12</v>
      </c>
      <c r="H138" s="2" t="s">
        <v>12</v>
      </c>
      <c r="I138" s="2" t="s">
        <v>552</v>
      </c>
    </row>
    <row r="139" spans="1:9" x14ac:dyDescent="0.3">
      <c r="A139" s="1" t="s">
        <v>553</v>
      </c>
      <c r="B139" s="2" t="s">
        <v>12</v>
      </c>
      <c r="C139" s="2" t="s">
        <v>554</v>
      </c>
      <c r="D139" s="2" t="s">
        <v>12</v>
      </c>
      <c r="E139" s="2" t="s">
        <v>12</v>
      </c>
      <c r="F139" s="2" t="s">
        <v>555</v>
      </c>
      <c r="G139" s="2" t="s">
        <v>12</v>
      </c>
      <c r="H139" s="2" t="s">
        <v>12</v>
      </c>
      <c r="I139" s="2" t="s">
        <v>556</v>
      </c>
    </row>
    <row r="140" spans="1:9" x14ac:dyDescent="0.3">
      <c r="A140" s="1" t="s">
        <v>557</v>
      </c>
      <c r="B140" s="2" t="s">
        <v>232</v>
      </c>
      <c r="C140" s="2" t="s">
        <v>500</v>
      </c>
      <c r="D140" s="2" t="s">
        <v>558</v>
      </c>
      <c r="E140" s="2" t="s">
        <v>12</v>
      </c>
      <c r="F140" s="2" t="s">
        <v>12</v>
      </c>
      <c r="G140" s="2" t="s">
        <v>12</v>
      </c>
      <c r="H140" s="2" t="s">
        <v>12</v>
      </c>
      <c r="I140" s="2" t="s">
        <v>559</v>
      </c>
    </row>
    <row r="141" spans="1:9" x14ac:dyDescent="0.3">
      <c r="A141" s="1" t="s">
        <v>560</v>
      </c>
      <c r="B141" s="2" t="s">
        <v>129</v>
      </c>
      <c r="C141" s="2" t="s">
        <v>211</v>
      </c>
      <c r="D141" s="2" t="s">
        <v>12</v>
      </c>
      <c r="E141" s="2" t="s">
        <v>12</v>
      </c>
      <c r="F141" s="2" t="s">
        <v>12</v>
      </c>
      <c r="G141" s="2" t="s">
        <v>12</v>
      </c>
      <c r="H141" s="2" t="s">
        <v>12</v>
      </c>
      <c r="I141" s="2" t="s">
        <v>561</v>
      </c>
    </row>
    <row r="142" spans="1:9" x14ac:dyDescent="0.3">
      <c r="A142" s="1" t="s">
        <v>562</v>
      </c>
      <c r="B142" s="2" t="s">
        <v>563</v>
      </c>
      <c r="C142" s="2" t="s">
        <v>564</v>
      </c>
      <c r="D142" s="2" t="s">
        <v>12</v>
      </c>
      <c r="E142" s="2" t="s">
        <v>565</v>
      </c>
      <c r="F142" s="2" t="s">
        <v>566</v>
      </c>
      <c r="G142" s="2" t="s">
        <v>12</v>
      </c>
      <c r="H142" s="2" t="s">
        <v>12</v>
      </c>
      <c r="I142" s="2" t="s">
        <v>567</v>
      </c>
    </row>
    <row r="143" spans="1:9" x14ac:dyDescent="0.3">
      <c r="A143" s="1" t="s">
        <v>568</v>
      </c>
      <c r="B143" s="2" t="s">
        <v>569</v>
      </c>
      <c r="C143" s="2" t="s">
        <v>248</v>
      </c>
      <c r="D143" s="2" t="s">
        <v>12</v>
      </c>
      <c r="E143" s="2" t="s">
        <v>12</v>
      </c>
      <c r="F143" s="2" t="s">
        <v>12</v>
      </c>
      <c r="G143" s="2" t="s">
        <v>12</v>
      </c>
      <c r="H143" s="2" t="s">
        <v>12</v>
      </c>
      <c r="I143" s="2" t="s">
        <v>221</v>
      </c>
    </row>
    <row r="144" spans="1:9" x14ac:dyDescent="0.3">
      <c r="A144" s="1" t="s">
        <v>570</v>
      </c>
      <c r="B144" s="2" t="s">
        <v>571</v>
      </c>
      <c r="C144" s="2" t="s">
        <v>572</v>
      </c>
      <c r="D144" s="2" t="s">
        <v>12</v>
      </c>
      <c r="E144" s="2" t="s">
        <v>12</v>
      </c>
      <c r="F144" s="2" t="s">
        <v>12</v>
      </c>
      <c r="G144" s="2" t="s">
        <v>12</v>
      </c>
      <c r="H144" s="2" t="s">
        <v>573</v>
      </c>
      <c r="I144" s="2" t="s">
        <v>574</v>
      </c>
    </row>
    <row r="145" spans="1:9" x14ac:dyDescent="0.3">
      <c r="A145" s="1" t="s">
        <v>575</v>
      </c>
      <c r="B145" s="2" t="s">
        <v>174</v>
      </c>
      <c r="C145" s="2" t="s">
        <v>576</v>
      </c>
      <c r="D145" s="2" t="s">
        <v>12</v>
      </c>
      <c r="E145" s="2" t="s">
        <v>12</v>
      </c>
      <c r="F145" s="2" t="s">
        <v>12</v>
      </c>
      <c r="G145" s="2" t="s">
        <v>12</v>
      </c>
      <c r="H145" s="2" t="s">
        <v>12</v>
      </c>
      <c r="I145" s="2" t="s">
        <v>370</v>
      </c>
    </row>
    <row r="146" spans="1:9" x14ac:dyDescent="0.3">
      <c r="A146" s="1" t="s">
        <v>577</v>
      </c>
      <c r="B146" s="2" t="s">
        <v>108</v>
      </c>
      <c r="C146" s="2" t="s">
        <v>578</v>
      </c>
      <c r="D146" s="2" t="s">
        <v>12</v>
      </c>
      <c r="E146" s="2" t="s">
        <v>12</v>
      </c>
      <c r="F146" s="2" t="s">
        <v>12</v>
      </c>
      <c r="G146" s="2" t="s">
        <v>12</v>
      </c>
      <c r="H146" s="2" t="s">
        <v>12</v>
      </c>
      <c r="I146" s="2" t="s">
        <v>579</v>
      </c>
    </row>
    <row r="147" spans="1:9" x14ac:dyDescent="0.3">
      <c r="A147" s="1" t="s">
        <v>580</v>
      </c>
      <c r="B147" s="2" t="s">
        <v>581</v>
      </c>
      <c r="C147" s="2" t="s">
        <v>582</v>
      </c>
      <c r="D147" s="2" t="s">
        <v>12</v>
      </c>
      <c r="E147" s="2" t="s">
        <v>583</v>
      </c>
      <c r="F147" s="2" t="s">
        <v>12</v>
      </c>
      <c r="G147" s="2" t="s">
        <v>12</v>
      </c>
      <c r="H147" s="2" t="s">
        <v>584</v>
      </c>
      <c r="I147" s="2" t="s">
        <v>585</v>
      </c>
    </row>
    <row r="148" spans="1:9" x14ac:dyDescent="0.3">
      <c r="A148" s="1" t="s">
        <v>586</v>
      </c>
      <c r="B148" s="2" t="s">
        <v>587</v>
      </c>
      <c r="C148" s="2" t="s">
        <v>588</v>
      </c>
      <c r="D148" s="2" t="s">
        <v>12</v>
      </c>
      <c r="E148" s="2" t="s">
        <v>12</v>
      </c>
      <c r="F148" s="2" t="s">
        <v>12</v>
      </c>
      <c r="G148" s="2" t="s">
        <v>12</v>
      </c>
      <c r="H148" s="2" t="s">
        <v>12</v>
      </c>
      <c r="I148" s="2" t="s">
        <v>589</v>
      </c>
    </row>
    <row r="149" spans="1:9" x14ac:dyDescent="0.3">
      <c r="A149" s="1" t="s">
        <v>590</v>
      </c>
      <c r="B149" s="2" t="s">
        <v>12</v>
      </c>
      <c r="C149" s="2" t="s">
        <v>591</v>
      </c>
      <c r="D149" s="2" t="s">
        <v>12</v>
      </c>
      <c r="E149" s="2" t="s">
        <v>12</v>
      </c>
      <c r="F149" s="2" t="s">
        <v>12</v>
      </c>
      <c r="G149" s="2" t="s">
        <v>12</v>
      </c>
      <c r="H149" s="2" t="s">
        <v>12</v>
      </c>
      <c r="I149" s="2" t="s">
        <v>375</v>
      </c>
    </row>
    <row r="150" spans="1:9" x14ac:dyDescent="0.3">
      <c r="A150" s="1" t="s">
        <v>592</v>
      </c>
      <c r="B150" s="2" t="s">
        <v>593</v>
      </c>
      <c r="C150" s="2" t="s">
        <v>594</v>
      </c>
      <c r="D150" s="2" t="s">
        <v>595</v>
      </c>
      <c r="E150" s="2" t="s">
        <v>12</v>
      </c>
      <c r="F150" s="2" t="s">
        <v>12</v>
      </c>
      <c r="G150" s="2" t="s">
        <v>12</v>
      </c>
      <c r="H150" s="2" t="s">
        <v>12</v>
      </c>
      <c r="I150" s="2" t="s">
        <v>543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8B20F-B8FF-479A-A15B-45A93C131F19}">
  <dimension ref="A1:J150"/>
  <sheetViews>
    <sheetView workbookViewId="0">
      <selection activeCell="B1" sqref="B1"/>
    </sheetView>
  </sheetViews>
  <sheetFormatPr defaultRowHeight="14.4" x14ac:dyDescent="0.3"/>
  <cols>
    <col min="1" max="1" width="31.44140625" bestFit="1" customWidth="1"/>
    <col min="2" max="2" width="14.88671875" bestFit="1" customWidth="1"/>
    <col min="3" max="3" width="16.88671875" bestFit="1" customWidth="1"/>
    <col min="4" max="4" width="17.21875" bestFit="1" customWidth="1"/>
    <col min="5" max="5" width="15.33203125" bestFit="1" customWidth="1"/>
    <col min="6" max="6" width="10.44140625" bestFit="1" customWidth="1"/>
    <col min="7" max="7" width="18.44140625" bestFit="1" customWidth="1"/>
    <col min="8" max="8" width="25.6640625" bestFit="1" customWidth="1"/>
    <col min="9" max="9" width="24.33203125" bestFit="1" customWidth="1"/>
    <col min="10" max="10" width="20.77734375" bestFit="1" customWidth="1"/>
  </cols>
  <sheetData>
    <row r="1" spans="1:10" ht="16.8" customHeight="1" x14ac:dyDescent="0.3">
      <c r="A1" s="7" t="s">
        <v>0</v>
      </c>
      <c r="B1" s="7" t="s">
        <v>598</v>
      </c>
      <c r="C1" s="7" t="s">
        <v>901</v>
      </c>
      <c r="D1" s="7" t="s">
        <v>902</v>
      </c>
      <c r="E1" s="7" t="s">
        <v>903</v>
      </c>
      <c r="F1" s="7" t="s">
        <v>904</v>
      </c>
      <c r="G1" s="7" t="s">
        <v>905</v>
      </c>
      <c r="H1" s="7" t="s">
        <v>906</v>
      </c>
      <c r="I1" s="7" t="s">
        <v>907</v>
      </c>
      <c r="J1" s="7" t="s">
        <v>908</v>
      </c>
    </row>
    <row r="2" spans="1:10" x14ac:dyDescent="0.3">
      <c r="A2" s="1" t="s">
        <v>9</v>
      </c>
      <c r="B2" s="3">
        <v>98</v>
      </c>
      <c r="C2" s="4">
        <v>0</v>
      </c>
      <c r="D2" s="4">
        <v>0</v>
      </c>
      <c r="E2" s="4">
        <v>0</v>
      </c>
      <c r="F2" s="4">
        <v>0.10294117647058799</v>
      </c>
      <c r="G2" s="4">
        <v>0</v>
      </c>
      <c r="H2" s="2" t="s">
        <v>909</v>
      </c>
      <c r="I2" s="2" t="s">
        <v>910</v>
      </c>
      <c r="J2" s="2" t="s">
        <v>911</v>
      </c>
    </row>
    <row r="3" spans="1:10" x14ac:dyDescent="0.3">
      <c r="A3" s="1" t="s">
        <v>14</v>
      </c>
      <c r="B3" s="3">
        <v>23</v>
      </c>
      <c r="C3" s="4">
        <v>0</v>
      </c>
      <c r="D3" s="4">
        <v>0</v>
      </c>
      <c r="E3" s="4">
        <v>0</v>
      </c>
      <c r="F3" s="4">
        <v>0.10294117647058799</v>
      </c>
      <c r="G3" s="4">
        <v>0</v>
      </c>
      <c r="H3" s="2" t="s">
        <v>909</v>
      </c>
      <c r="I3" s="2" t="s">
        <v>910</v>
      </c>
      <c r="J3" s="2" t="s">
        <v>911</v>
      </c>
    </row>
    <row r="4" spans="1:10" x14ac:dyDescent="0.3">
      <c r="A4" s="1" t="s">
        <v>18</v>
      </c>
      <c r="B4" s="3">
        <v>28</v>
      </c>
      <c r="C4" s="4">
        <v>1.4705882352941201E-2</v>
      </c>
      <c r="D4" s="4">
        <v>0</v>
      </c>
      <c r="E4" s="4">
        <v>0</v>
      </c>
      <c r="F4" s="4">
        <v>7.3529411764705899E-2</v>
      </c>
      <c r="G4" s="4">
        <v>0</v>
      </c>
      <c r="H4" s="2" t="s">
        <v>912</v>
      </c>
      <c r="I4" s="2" t="s">
        <v>12</v>
      </c>
      <c r="J4" s="2" t="s">
        <v>913</v>
      </c>
    </row>
    <row r="5" spans="1:10" x14ac:dyDescent="0.3">
      <c r="A5" s="1" t="s">
        <v>23</v>
      </c>
      <c r="B5" s="3">
        <v>29</v>
      </c>
      <c r="C5" s="4">
        <v>1.4705882352941201E-2</v>
      </c>
      <c r="D5" s="4">
        <v>0</v>
      </c>
      <c r="E5" s="4">
        <v>0</v>
      </c>
      <c r="F5" s="4">
        <v>7.3529411764705899E-2</v>
      </c>
      <c r="G5" s="4">
        <v>0</v>
      </c>
      <c r="H5" s="2" t="s">
        <v>912</v>
      </c>
      <c r="I5" s="2" t="s">
        <v>12</v>
      </c>
      <c r="J5" s="2" t="s">
        <v>913</v>
      </c>
    </row>
    <row r="6" spans="1:10" x14ac:dyDescent="0.3">
      <c r="A6" s="1" t="s">
        <v>28</v>
      </c>
      <c r="B6" s="3">
        <v>93</v>
      </c>
      <c r="C6" s="4">
        <v>8.3333333333333301E-2</v>
      </c>
      <c r="D6" s="4">
        <v>0</v>
      </c>
      <c r="E6" s="4">
        <v>0</v>
      </c>
      <c r="F6" s="4">
        <v>0.16666666666666699</v>
      </c>
      <c r="G6" s="4">
        <v>0.1</v>
      </c>
      <c r="H6" s="2" t="s">
        <v>914</v>
      </c>
      <c r="I6" s="2" t="s">
        <v>915</v>
      </c>
      <c r="J6" s="2" t="s">
        <v>916</v>
      </c>
    </row>
    <row r="7" spans="1:10" x14ac:dyDescent="0.3">
      <c r="A7" s="1" t="s">
        <v>33</v>
      </c>
      <c r="B7" s="3">
        <v>92</v>
      </c>
      <c r="C7" s="4">
        <v>8.3333333333333301E-2</v>
      </c>
      <c r="D7" s="4">
        <v>0</v>
      </c>
      <c r="E7" s="4">
        <v>0</v>
      </c>
      <c r="F7" s="4">
        <v>0.16666666666666699</v>
      </c>
      <c r="G7" s="4">
        <v>0.1</v>
      </c>
      <c r="H7" s="2" t="s">
        <v>914</v>
      </c>
      <c r="I7" s="2" t="s">
        <v>915</v>
      </c>
      <c r="J7" s="2" t="s">
        <v>916</v>
      </c>
    </row>
    <row r="8" spans="1:10" x14ac:dyDescent="0.3">
      <c r="A8" s="1" t="s">
        <v>37</v>
      </c>
      <c r="B8" s="3">
        <v>26</v>
      </c>
      <c r="C8" s="4">
        <v>5.4545454545454501E-2</v>
      </c>
      <c r="D8" s="4">
        <v>0</v>
      </c>
      <c r="E8" s="4">
        <v>1.7857142857142901E-2</v>
      </c>
      <c r="F8" s="4">
        <v>0.109090909090909</v>
      </c>
      <c r="G8" s="4">
        <v>0</v>
      </c>
      <c r="H8" s="2" t="s">
        <v>917</v>
      </c>
      <c r="I8" s="2" t="s">
        <v>12</v>
      </c>
      <c r="J8" s="2" t="s">
        <v>918</v>
      </c>
    </row>
    <row r="9" spans="1:10" x14ac:dyDescent="0.3">
      <c r="A9" s="1" t="s">
        <v>42</v>
      </c>
      <c r="B9" s="3">
        <v>90</v>
      </c>
      <c r="C9" s="4">
        <v>5.4545454545454501E-2</v>
      </c>
      <c r="D9" s="4">
        <v>0</v>
      </c>
      <c r="E9" s="4">
        <v>1.7857142857142901E-2</v>
      </c>
      <c r="F9" s="4">
        <v>0.109090909090909</v>
      </c>
      <c r="G9" s="4">
        <v>0</v>
      </c>
      <c r="H9" s="2" t="s">
        <v>917</v>
      </c>
      <c r="I9" s="2" t="s">
        <v>12</v>
      </c>
      <c r="J9" s="2" t="s">
        <v>918</v>
      </c>
    </row>
    <row r="10" spans="1:10" x14ac:dyDescent="0.3">
      <c r="A10" s="1" t="s">
        <v>46</v>
      </c>
      <c r="B10" s="3">
        <v>89</v>
      </c>
      <c r="C10" s="4">
        <v>0</v>
      </c>
      <c r="D10" s="4">
        <v>0</v>
      </c>
      <c r="E10" s="4">
        <v>0</v>
      </c>
      <c r="F10" s="4">
        <v>6.8181818181818205E-2</v>
      </c>
      <c r="G10" s="4">
        <v>0</v>
      </c>
      <c r="H10" s="2" t="s">
        <v>919</v>
      </c>
      <c r="I10" s="2" t="s">
        <v>920</v>
      </c>
      <c r="J10" s="2" t="s">
        <v>921</v>
      </c>
    </row>
    <row r="11" spans="1:10" x14ac:dyDescent="0.3">
      <c r="A11" s="1" t="s">
        <v>50</v>
      </c>
      <c r="B11" s="3">
        <v>54</v>
      </c>
      <c r="C11" s="4">
        <v>0</v>
      </c>
      <c r="D11" s="4">
        <v>0</v>
      </c>
      <c r="E11" s="4">
        <v>0</v>
      </c>
      <c r="F11" s="4">
        <v>6.8181818181818205E-2</v>
      </c>
      <c r="G11" s="4">
        <v>0</v>
      </c>
      <c r="H11" s="2" t="s">
        <v>919</v>
      </c>
      <c r="I11" s="2" t="s">
        <v>920</v>
      </c>
      <c r="J11" s="2" t="s">
        <v>921</v>
      </c>
    </row>
    <row r="12" spans="1:10" x14ac:dyDescent="0.3">
      <c r="A12" s="1" t="s">
        <v>54</v>
      </c>
      <c r="B12" s="3">
        <v>87</v>
      </c>
      <c r="C12" s="4">
        <v>0</v>
      </c>
      <c r="D12" s="4">
        <v>0</v>
      </c>
      <c r="E12" s="4">
        <v>0</v>
      </c>
      <c r="F12" s="4">
        <v>6.5217391304347797E-2</v>
      </c>
      <c r="G12" s="4">
        <v>0</v>
      </c>
      <c r="H12" s="2" t="s">
        <v>922</v>
      </c>
      <c r="I12" s="2" t="s">
        <v>923</v>
      </c>
      <c r="J12" s="2" t="s">
        <v>924</v>
      </c>
    </row>
    <row r="13" spans="1:10" x14ac:dyDescent="0.3">
      <c r="A13" s="1" t="s">
        <v>58</v>
      </c>
      <c r="B13" s="3">
        <v>65</v>
      </c>
      <c r="C13" s="4">
        <v>0</v>
      </c>
      <c r="D13" s="4">
        <v>0</v>
      </c>
      <c r="E13" s="4">
        <v>0</v>
      </c>
      <c r="F13" s="4">
        <v>6.5217391304347797E-2</v>
      </c>
      <c r="G13" s="4">
        <v>0</v>
      </c>
      <c r="H13" s="2" t="s">
        <v>922</v>
      </c>
      <c r="I13" s="2" t="s">
        <v>923</v>
      </c>
      <c r="J13" s="2" t="s">
        <v>924</v>
      </c>
    </row>
    <row r="14" spans="1:10" x14ac:dyDescent="0.3">
      <c r="A14" s="1" t="s">
        <v>63</v>
      </c>
      <c r="B14" s="3">
        <v>85</v>
      </c>
      <c r="C14" s="4">
        <v>0</v>
      </c>
      <c r="D14" s="4">
        <v>0</v>
      </c>
      <c r="E14" s="4">
        <v>0</v>
      </c>
      <c r="F14" s="4">
        <v>7.69230769230769E-2</v>
      </c>
      <c r="G14" s="4">
        <v>0</v>
      </c>
      <c r="H14" s="2" t="s">
        <v>925</v>
      </c>
      <c r="I14" s="2" t="s">
        <v>12</v>
      </c>
      <c r="J14" s="2" t="s">
        <v>926</v>
      </c>
    </row>
    <row r="15" spans="1:10" x14ac:dyDescent="0.3">
      <c r="A15" s="1" t="s">
        <v>68</v>
      </c>
      <c r="B15" s="3">
        <v>65</v>
      </c>
      <c r="C15" s="4">
        <v>0</v>
      </c>
      <c r="D15" s="4">
        <v>0</v>
      </c>
      <c r="E15" s="4">
        <v>0</v>
      </c>
      <c r="F15" s="4">
        <v>7.69230769230769E-2</v>
      </c>
      <c r="G15" s="4">
        <v>0</v>
      </c>
      <c r="H15" s="2" t="s">
        <v>925</v>
      </c>
      <c r="I15" s="2" t="s">
        <v>12</v>
      </c>
      <c r="J15" s="2" t="s">
        <v>926</v>
      </c>
    </row>
    <row r="16" spans="1:10" x14ac:dyDescent="0.3">
      <c r="A16" s="1" t="s">
        <v>72</v>
      </c>
      <c r="B16" s="3">
        <v>83</v>
      </c>
      <c r="C16" s="4">
        <v>9.6385542168674704E-2</v>
      </c>
      <c r="D16" s="4">
        <v>0</v>
      </c>
      <c r="E16" s="4">
        <v>1.1904761904761901E-2</v>
      </c>
      <c r="F16" s="4">
        <v>0.132530120481928</v>
      </c>
      <c r="G16" s="4">
        <v>9.0909090909090898E-2</v>
      </c>
      <c r="H16" s="2" t="s">
        <v>922</v>
      </c>
      <c r="I16" s="2" t="s">
        <v>927</v>
      </c>
      <c r="J16" s="2" t="s">
        <v>928</v>
      </c>
    </row>
    <row r="17" spans="1:10" x14ac:dyDescent="0.3">
      <c r="A17" s="1" t="s">
        <v>76</v>
      </c>
      <c r="B17" s="3">
        <v>82</v>
      </c>
      <c r="C17" s="4">
        <v>9.6385542168674704E-2</v>
      </c>
      <c r="D17" s="4">
        <v>0</v>
      </c>
      <c r="E17" s="4">
        <v>1.1904761904761901E-2</v>
      </c>
      <c r="F17" s="4">
        <v>0.132530120481928</v>
      </c>
      <c r="G17" s="4">
        <v>9.0909090909090898E-2</v>
      </c>
      <c r="H17" s="2" t="s">
        <v>922</v>
      </c>
      <c r="I17" s="2" t="s">
        <v>927</v>
      </c>
      <c r="J17" s="2" t="s">
        <v>928</v>
      </c>
    </row>
    <row r="18" spans="1:10" x14ac:dyDescent="0.3">
      <c r="A18" s="1" t="s">
        <v>81</v>
      </c>
      <c r="B18" s="3">
        <v>81</v>
      </c>
      <c r="C18" s="4">
        <v>3.03030303030303E-2</v>
      </c>
      <c r="D18" s="4">
        <v>0</v>
      </c>
      <c r="E18" s="4">
        <v>2.8571428571428598E-2</v>
      </c>
      <c r="F18" s="4">
        <v>7.5757575757575801E-2</v>
      </c>
      <c r="G18" s="4">
        <v>0</v>
      </c>
      <c r="H18" s="2" t="s">
        <v>929</v>
      </c>
      <c r="I18" s="2" t="s">
        <v>926</v>
      </c>
      <c r="J18" s="2" t="s">
        <v>913</v>
      </c>
    </row>
    <row r="19" spans="1:10" x14ac:dyDescent="0.3">
      <c r="A19" s="1" t="s">
        <v>85</v>
      </c>
      <c r="B19" s="3">
        <v>80</v>
      </c>
      <c r="C19" s="4">
        <v>3.03030303030303E-2</v>
      </c>
      <c r="D19" s="4">
        <v>0</v>
      </c>
      <c r="E19" s="4">
        <v>2.8571428571428598E-2</v>
      </c>
      <c r="F19" s="4">
        <v>7.5757575757575801E-2</v>
      </c>
      <c r="G19" s="4">
        <v>0</v>
      </c>
      <c r="H19" s="2" t="s">
        <v>929</v>
      </c>
      <c r="I19" s="2" t="s">
        <v>926</v>
      </c>
      <c r="J19" s="2" t="s">
        <v>913</v>
      </c>
    </row>
    <row r="20" spans="1:10" x14ac:dyDescent="0.3">
      <c r="A20" s="1" t="s">
        <v>88</v>
      </c>
      <c r="B20" s="3">
        <v>79</v>
      </c>
      <c r="C20" s="4">
        <v>5.9701492537313397E-2</v>
      </c>
      <c r="D20" s="4">
        <v>0</v>
      </c>
      <c r="E20" s="4">
        <v>0</v>
      </c>
      <c r="F20" s="4">
        <v>0.104477611940299</v>
      </c>
      <c r="G20" s="4">
        <v>0</v>
      </c>
      <c r="H20" s="2" t="s">
        <v>930</v>
      </c>
      <c r="I20" s="2" t="s">
        <v>910</v>
      </c>
      <c r="J20" s="2" t="s">
        <v>926</v>
      </c>
    </row>
    <row r="21" spans="1:10" x14ac:dyDescent="0.3">
      <c r="A21" s="1" t="s">
        <v>94</v>
      </c>
      <c r="B21" s="3">
        <v>78</v>
      </c>
      <c r="C21" s="4">
        <v>5.9701492537313397E-2</v>
      </c>
      <c r="D21" s="4">
        <v>0</v>
      </c>
      <c r="E21" s="4">
        <v>0</v>
      </c>
      <c r="F21" s="4">
        <v>0.104477611940299</v>
      </c>
      <c r="G21" s="4">
        <v>0</v>
      </c>
      <c r="H21" s="2" t="s">
        <v>930</v>
      </c>
      <c r="I21" s="2" t="s">
        <v>910</v>
      </c>
      <c r="J21" s="2" t="s">
        <v>926</v>
      </c>
    </row>
    <row r="22" spans="1:10" x14ac:dyDescent="0.3">
      <c r="A22" s="1" t="s">
        <v>99</v>
      </c>
      <c r="B22" s="3">
        <v>77</v>
      </c>
      <c r="C22" s="4">
        <v>2.9850746268656699E-2</v>
      </c>
      <c r="D22" s="4">
        <v>0</v>
      </c>
      <c r="E22" s="4">
        <v>0</v>
      </c>
      <c r="F22" s="4">
        <v>0.119402985074627</v>
      </c>
      <c r="G22" s="4">
        <v>0</v>
      </c>
      <c r="H22" s="2" t="s">
        <v>931</v>
      </c>
      <c r="I22" s="2" t="s">
        <v>932</v>
      </c>
      <c r="J22" s="2" t="s">
        <v>911</v>
      </c>
    </row>
    <row r="23" spans="1:10" x14ac:dyDescent="0.3">
      <c r="A23" s="1" t="s">
        <v>103</v>
      </c>
      <c r="B23" s="3">
        <v>76</v>
      </c>
      <c r="C23" s="4">
        <v>2.9850746268656699E-2</v>
      </c>
      <c r="D23" s="4">
        <v>0</v>
      </c>
      <c r="E23" s="4">
        <v>0</v>
      </c>
      <c r="F23" s="4">
        <v>0.119402985074627</v>
      </c>
      <c r="G23" s="4">
        <v>0</v>
      </c>
      <c r="H23" s="2" t="s">
        <v>931</v>
      </c>
      <c r="I23" s="2" t="s">
        <v>932</v>
      </c>
      <c r="J23" s="2" t="s">
        <v>911</v>
      </c>
    </row>
    <row r="24" spans="1:10" x14ac:dyDescent="0.3">
      <c r="A24" s="1" t="s">
        <v>107</v>
      </c>
      <c r="B24" s="3">
        <v>75</v>
      </c>
      <c r="C24" s="4">
        <v>7.2727272727272696E-2</v>
      </c>
      <c r="D24" s="4">
        <v>0</v>
      </c>
      <c r="E24" s="4">
        <v>1.7543859649122799E-2</v>
      </c>
      <c r="F24" s="4">
        <v>7.2727272727272696E-2</v>
      </c>
      <c r="G24" s="4">
        <v>0</v>
      </c>
      <c r="H24" s="2" t="s">
        <v>933</v>
      </c>
      <c r="I24" s="2" t="s">
        <v>12</v>
      </c>
      <c r="J24" s="2" t="s">
        <v>934</v>
      </c>
    </row>
    <row r="25" spans="1:10" x14ac:dyDescent="0.3">
      <c r="A25" s="1" t="s">
        <v>112</v>
      </c>
      <c r="B25" s="3">
        <v>74</v>
      </c>
      <c r="C25" s="4">
        <v>7.2727272727272696E-2</v>
      </c>
      <c r="D25" s="4">
        <v>0</v>
      </c>
      <c r="E25" s="4">
        <v>1.7543859649122799E-2</v>
      </c>
      <c r="F25" s="4">
        <v>7.2727272727272696E-2</v>
      </c>
      <c r="G25" s="4">
        <v>0</v>
      </c>
      <c r="H25" s="2" t="s">
        <v>933</v>
      </c>
      <c r="I25" s="2" t="s">
        <v>12</v>
      </c>
      <c r="J25" s="2" t="s">
        <v>934</v>
      </c>
    </row>
    <row r="26" spans="1:10" x14ac:dyDescent="0.3">
      <c r="A26" s="1" t="s">
        <v>117</v>
      </c>
      <c r="B26" s="3">
        <v>73</v>
      </c>
      <c r="C26" s="4">
        <v>9.0909090909090898E-2</v>
      </c>
      <c r="D26" s="4">
        <v>0</v>
      </c>
      <c r="E26" s="4">
        <v>0</v>
      </c>
      <c r="F26" s="4">
        <v>0.10606060606060599</v>
      </c>
      <c r="G26" s="4">
        <v>0</v>
      </c>
      <c r="H26" s="2" t="s">
        <v>933</v>
      </c>
      <c r="I26" s="2" t="s">
        <v>910</v>
      </c>
      <c r="J26" s="2" t="s">
        <v>935</v>
      </c>
    </row>
    <row r="27" spans="1:10" x14ac:dyDescent="0.3">
      <c r="A27" s="1" t="s">
        <v>121</v>
      </c>
      <c r="B27" s="3">
        <v>72</v>
      </c>
      <c r="C27" s="4">
        <v>9.0909090909090898E-2</v>
      </c>
      <c r="D27" s="4">
        <v>0</v>
      </c>
      <c r="E27" s="4">
        <v>0</v>
      </c>
      <c r="F27" s="4">
        <v>0.10606060606060599</v>
      </c>
      <c r="G27" s="4">
        <v>0</v>
      </c>
      <c r="H27" s="2" t="s">
        <v>933</v>
      </c>
      <c r="I27" s="2" t="s">
        <v>910</v>
      </c>
      <c r="J27" s="2" t="s">
        <v>935</v>
      </c>
    </row>
    <row r="28" spans="1:10" x14ac:dyDescent="0.3">
      <c r="A28" s="1" t="s">
        <v>124</v>
      </c>
      <c r="B28" s="3">
        <v>71</v>
      </c>
      <c r="C28" s="4">
        <v>8.0645161290322606E-2</v>
      </c>
      <c r="D28" s="4">
        <v>0</v>
      </c>
      <c r="E28" s="4">
        <v>0</v>
      </c>
      <c r="F28" s="4">
        <v>0.14516129032258099</v>
      </c>
      <c r="G28" s="4">
        <v>0.11111111111111099</v>
      </c>
      <c r="H28" s="2" t="s">
        <v>925</v>
      </c>
      <c r="I28" s="2" t="s">
        <v>936</v>
      </c>
      <c r="J28" s="2" t="s">
        <v>937</v>
      </c>
    </row>
    <row r="29" spans="1:10" x14ac:dyDescent="0.3">
      <c r="A29" s="1" t="s">
        <v>128</v>
      </c>
      <c r="B29" s="3">
        <v>70</v>
      </c>
      <c r="C29" s="4">
        <v>8.0645161290322606E-2</v>
      </c>
      <c r="D29" s="4">
        <v>0</v>
      </c>
      <c r="E29" s="4">
        <v>0</v>
      </c>
      <c r="F29" s="4">
        <v>0.14516129032258099</v>
      </c>
      <c r="G29" s="4">
        <v>0.11111111111111099</v>
      </c>
      <c r="H29" s="2" t="s">
        <v>925</v>
      </c>
      <c r="I29" s="2" t="s">
        <v>936</v>
      </c>
      <c r="J29" s="2" t="s">
        <v>937</v>
      </c>
    </row>
    <row r="30" spans="1:10" x14ac:dyDescent="0.3">
      <c r="A30" s="1" t="s">
        <v>132</v>
      </c>
      <c r="B30" s="3">
        <v>69</v>
      </c>
      <c r="C30" s="4">
        <v>0.138461538461538</v>
      </c>
      <c r="D30" s="4">
        <v>0</v>
      </c>
      <c r="E30" s="4">
        <v>1.49253731343284E-2</v>
      </c>
      <c r="F30" s="4">
        <v>0.21538461538461501</v>
      </c>
      <c r="G30" s="4">
        <v>0</v>
      </c>
      <c r="H30" s="2" t="s">
        <v>925</v>
      </c>
      <c r="I30" s="2" t="s">
        <v>938</v>
      </c>
      <c r="J30" s="2" t="s">
        <v>918</v>
      </c>
    </row>
    <row r="31" spans="1:10" x14ac:dyDescent="0.3">
      <c r="A31" s="1" t="s">
        <v>138</v>
      </c>
      <c r="B31" s="3">
        <v>68</v>
      </c>
      <c r="C31" s="4">
        <v>0.138461538461538</v>
      </c>
      <c r="D31" s="4">
        <v>0</v>
      </c>
      <c r="E31" s="4">
        <v>1.49253731343284E-2</v>
      </c>
      <c r="F31" s="4">
        <v>0.21538461538461501</v>
      </c>
      <c r="G31" s="4">
        <v>0</v>
      </c>
      <c r="H31" s="2" t="s">
        <v>925</v>
      </c>
      <c r="I31" s="2" t="s">
        <v>938</v>
      </c>
      <c r="J31" s="2" t="s">
        <v>918</v>
      </c>
    </row>
    <row r="32" spans="1:10" x14ac:dyDescent="0.3">
      <c r="A32" s="1" t="s">
        <v>143</v>
      </c>
      <c r="B32" s="3">
        <v>67</v>
      </c>
      <c r="C32" s="4">
        <v>1.7543859649122799E-2</v>
      </c>
      <c r="D32" s="4">
        <v>0</v>
      </c>
      <c r="E32" s="4">
        <v>0</v>
      </c>
      <c r="F32" s="4">
        <v>5.2631578947368397E-2</v>
      </c>
      <c r="G32" s="4">
        <v>0</v>
      </c>
      <c r="H32" s="2" t="s">
        <v>909</v>
      </c>
      <c r="I32" s="2" t="s">
        <v>376</v>
      </c>
      <c r="J32" s="2" t="s">
        <v>911</v>
      </c>
    </row>
    <row r="33" spans="1:10" x14ac:dyDescent="0.3">
      <c r="A33" s="1" t="s">
        <v>145</v>
      </c>
      <c r="B33" s="3">
        <v>66</v>
      </c>
      <c r="C33" s="4">
        <v>1.7543859649122799E-2</v>
      </c>
      <c r="D33" s="4">
        <v>0</v>
      </c>
      <c r="E33" s="4">
        <v>0</v>
      </c>
      <c r="F33" s="4">
        <v>5.2631578947368397E-2</v>
      </c>
      <c r="G33" s="4">
        <v>0</v>
      </c>
      <c r="H33" s="2" t="s">
        <v>909</v>
      </c>
      <c r="I33" s="2" t="s">
        <v>376</v>
      </c>
      <c r="J33" s="2" t="s">
        <v>911</v>
      </c>
    </row>
    <row r="34" spans="1:10" x14ac:dyDescent="0.3">
      <c r="A34" s="1" t="s">
        <v>150</v>
      </c>
      <c r="B34" s="3">
        <v>65</v>
      </c>
      <c r="C34" s="4">
        <v>8.9552238805970102E-2</v>
      </c>
      <c r="D34" s="4">
        <v>0</v>
      </c>
      <c r="E34" s="4">
        <v>1.4705882352941201E-2</v>
      </c>
      <c r="F34" s="4">
        <v>0.119402985074627</v>
      </c>
      <c r="G34" s="4">
        <v>0.125</v>
      </c>
      <c r="H34" s="2" t="s">
        <v>939</v>
      </c>
      <c r="I34" s="2" t="s">
        <v>12</v>
      </c>
      <c r="J34" s="2" t="s">
        <v>940</v>
      </c>
    </row>
    <row r="35" spans="1:10" x14ac:dyDescent="0.3">
      <c r="A35" s="1" t="s">
        <v>153</v>
      </c>
      <c r="B35" s="3">
        <v>64</v>
      </c>
      <c r="C35" s="4">
        <v>8.9552238805970102E-2</v>
      </c>
      <c r="D35" s="4">
        <v>0</v>
      </c>
      <c r="E35" s="4">
        <v>1.4705882352941201E-2</v>
      </c>
      <c r="F35" s="4">
        <v>0.119402985074627</v>
      </c>
      <c r="G35" s="4">
        <v>0.125</v>
      </c>
      <c r="H35" s="2" t="s">
        <v>939</v>
      </c>
      <c r="I35" s="2" t="s">
        <v>12</v>
      </c>
      <c r="J35" s="2" t="s">
        <v>940</v>
      </c>
    </row>
    <row r="36" spans="1:10" x14ac:dyDescent="0.3">
      <c r="A36" s="1" t="s">
        <v>157</v>
      </c>
      <c r="B36" s="3">
        <v>63</v>
      </c>
      <c r="C36" s="4">
        <v>0.140625</v>
      </c>
      <c r="D36" s="4">
        <v>0</v>
      </c>
      <c r="E36" s="4">
        <v>0</v>
      </c>
      <c r="F36" s="4">
        <v>0.171875</v>
      </c>
      <c r="G36" s="4">
        <v>0</v>
      </c>
      <c r="H36" s="2" t="s">
        <v>941</v>
      </c>
      <c r="I36" s="2" t="s">
        <v>12</v>
      </c>
      <c r="J36" s="2" t="s">
        <v>920</v>
      </c>
    </row>
    <row r="37" spans="1:10" x14ac:dyDescent="0.3">
      <c r="A37" s="1" t="s">
        <v>161</v>
      </c>
      <c r="B37" s="3">
        <v>62</v>
      </c>
      <c r="C37" s="4">
        <v>0.140625</v>
      </c>
      <c r="D37" s="4">
        <v>0</v>
      </c>
      <c r="E37" s="4">
        <v>0</v>
      </c>
      <c r="F37" s="4">
        <v>0.171875</v>
      </c>
      <c r="G37" s="4">
        <v>0</v>
      </c>
      <c r="H37" s="2" t="s">
        <v>941</v>
      </c>
      <c r="I37" s="2" t="s">
        <v>12</v>
      </c>
      <c r="J37" s="2" t="s">
        <v>920</v>
      </c>
    </row>
    <row r="38" spans="1:10" x14ac:dyDescent="0.3">
      <c r="A38" s="1" t="s">
        <v>167</v>
      </c>
      <c r="B38" s="3">
        <v>61</v>
      </c>
      <c r="C38" s="4">
        <v>0.10344827586206901</v>
      </c>
      <c r="D38" s="4">
        <v>0</v>
      </c>
      <c r="E38" s="4">
        <v>0</v>
      </c>
      <c r="F38" s="4">
        <v>0.24137931034482701</v>
      </c>
      <c r="G38" s="4">
        <v>0</v>
      </c>
      <c r="H38" s="2" t="s">
        <v>942</v>
      </c>
      <c r="I38" s="2" t="s">
        <v>943</v>
      </c>
      <c r="J38" s="2" t="s">
        <v>935</v>
      </c>
    </row>
    <row r="39" spans="1:10" x14ac:dyDescent="0.3">
      <c r="A39" s="1" t="s">
        <v>171</v>
      </c>
      <c r="B39" s="3">
        <v>60</v>
      </c>
      <c r="C39" s="4">
        <v>0.10344827586206901</v>
      </c>
      <c r="D39" s="4">
        <v>0</v>
      </c>
      <c r="E39" s="4">
        <v>0</v>
      </c>
      <c r="F39" s="4">
        <v>0.24137931034482701</v>
      </c>
      <c r="G39" s="4">
        <v>0</v>
      </c>
      <c r="H39" s="2" t="s">
        <v>942</v>
      </c>
      <c r="I39" s="2" t="s">
        <v>943</v>
      </c>
      <c r="J39" s="2" t="s">
        <v>935</v>
      </c>
    </row>
    <row r="40" spans="1:10" x14ac:dyDescent="0.3">
      <c r="A40" s="1" t="s">
        <v>173</v>
      </c>
      <c r="B40" s="3">
        <v>59</v>
      </c>
      <c r="C40" s="4">
        <v>7.3529411764705899E-2</v>
      </c>
      <c r="D40" s="4">
        <v>0</v>
      </c>
      <c r="E40" s="4">
        <v>0</v>
      </c>
      <c r="F40" s="4">
        <v>0.11764705882352899</v>
      </c>
      <c r="G40" s="4">
        <v>0</v>
      </c>
      <c r="H40" s="2" t="s">
        <v>944</v>
      </c>
      <c r="I40" s="2" t="s">
        <v>913</v>
      </c>
      <c r="J40" s="2" t="s">
        <v>945</v>
      </c>
    </row>
    <row r="41" spans="1:10" x14ac:dyDescent="0.3">
      <c r="A41" s="1" t="s">
        <v>177</v>
      </c>
      <c r="B41" s="3">
        <v>58</v>
      </c>
      <c r="C41" s="4">
        <v>7.3529411764705899E-2</v>
      </c>
      <c r="D41" s="4">
        <v>0</v>
      </c>
      <c r="E41" s="4">
        <v>0</v>
      </c>
      <c r="F41" s="4">
        <v>0.11764705882352899</v>
      </c>
      <c r="G41" s="4">
        <v>0</v>
      </c>
      <c r="H41" s="2" t="s">
        <v>944</v>
      </c>
      <c r="I41" s="2" t="s">
        <v>913</v>
      </c>
      <c r="J41" s="2" t="s">
        <v>945</v>
      </c>
    </row>
    <row r="42" spans="1:10" x14ac:dyDescent="0.3">
      <c r="A42" s="1" t="s">
        <v>181</v>
      </c>
      <c r="B42" s="3">
        <v>57</v>
      </c>
      <c r="C42" s="4">
        <v>4.91803278688525E-2</v>
      </c>
      <c r="D42" s="4">
        <v>0</v>
      </c>
      <c r="E42" s="4">
        <v>0</v>
      </c>
      <c r="F42" s="4">
        <v>9.8360655737704902E-2</v>
      </c>
      <c r="G42" s="4">
        <v>0</v>
      </c>
      <c r="H42" s="2" t="s">
        <v>946</v>
      </c>
      <c r="I42" s="2" t="s">
        <v>12</v>
      </c>
      <c r="J42" s="2" t="s">
        <v>926</v>
      </c>
    </row>
    <row r="43" spans="1:10" x14ac:dyDescent="0.3">
      <c r="A43" s="1" t="s">
        <v>185</v>
      </c>
      <c r="B43" s="3">
        <v>56</v>
      </c>
      <c r="C43" s="4">
        <v>4.91803278688525E-2</v>
      </c>
      <c r="D43" s="4">
        <v>0</v>
      </c>
      <c r="E43" s="4">
        <v>0</v>
      </c>
      <c r="F43" s="4">
        <v>9.8360655737704902E-2</v>
      </c>
      <c r="G43" s="4">
        <v>0</v>
      </c>
      <c r="H43" s="2" t="s">
        <v>946</v>
      </c>
      <c r="I43" s="2" t="s">
        <v>12</v>
      </c>
      <c r="J43" s="2" t="s">
        <v>926</v>
      </c>
    </row>
    <row r="44" spans="1:10" x14ac:dyDescent="0.3">
      <c r="A44" s="1" t="s">
        <v>190</v>
      </c>
      <c r="B44" s="3">
        <v>55</v>
      </c>
      <c r="C44" s="4">
        <v>1.5625E-2</v>
      </c>
      <c r="D44" s="4">
        <v>0</v>
      </c>
      <c r="E44" s="4">
        <v>0</v>
      </c>
      <c r="F44" s="4">
        <v>1.5625E-2</v>
      </c>
      <c r="G44" s="4">
        <v>0</v>
      </c>
      <c r="H44" s="2" t="s">
        <v>947</v>
      </c>
      <c r="I44" s="2" t="s">
        <v>920</v>
      </c>
      <c r="J44" s="2" t="s">
        <v>945</v>
      </c>
    </row>
    <row r="45" spans="1:10" x14ac:dyDescent="0.3">
      <c r="A45" s="1" t="s">
        <v>193</v>
      </c>
      <c r="B45" s="3">
        <v>54</v>
      </c>
      <c r="C45" s="4">
        <v>1.5625E-2</v>
      </c>
      <c r="D45" s="4">
        <v>0</v>
      </c>
      <c r="E45" s="4">
        <v>0</v>
      </c>
      <c r="F45" s="4">
        <v>1.5625E-2</v>
      </c>
      <c r="G45" s="4">
        <v>0</v>
      </c>
      <c r="H45" s="2" t="s">
        <v>947</v>
      </c>
      <c r="I45" s="2" t="s">
        <v>920</v>
      </c>
      <c r="J45" s="2" t="s">
        <v>945</v>
      </c>
    </row>
    <row r="46" spans="1:10" x14ac:dyDescent="0.3">
      <c r="A46" s="1" t="s">
        <v>197</v>
      </c>
      <c r="B46" s="3">
        <v>53</v>
      </c>
      <c r="C46" s="4">
        <v>3.5714285714285698E-2</v>
      </c>
      <c r="D46" s="4">
        <v>0</v>
      </c>
      <c r="E46" s="4">
        <v>0</v>
      </c>
      <c r="F46" s="4">
        <v>5.3571428571428603E-2</v>
      </c>
      <c r="G46" s="4">
        <v>0</v>
      </c>
      <c r="H46" s="2" t="s">
        <v>948</v>
      </c>
      <c r="I46" s="2" t="s">
        <v>949</v>
      </c>
      <c r="J46" s="2" t="s">
        <v>950</v>
      </c>
    </row>
    <row r="47" spans="1:10" x14ac:dyDescent="0.3">
      <c r="A47" s="1" t="s">
        <v>201</v>
      </c>
      <c r="B47" s="3">
        <v>52</v>
      </c>
      <c r="C47" s="4">
        <v>3.5714285714285698E-2</v>
      </c>
      <c r="D47" s="4">
        <v>0</v>
      </c>
      <c r="E47" s="4">
        <v>0</v>
      </c>
      <c r="F47" s="4">
        <v>5.3571428571428603E-2</v>
      </c>
      <c r="G47" s="4">
        <v>0</v>
      </c>
      <c r="H47" s="2" t="s">
        <v>948</v>
      </c>
      <c r="I47" s="2" t="s">
        <v>949</v>
      </c>
      <c r="J47" s="2" t="s">
        <v>950</v>
      </c>
    </row>
    <row r="48" spans="1:10" x14ac:dyDescent="0.3">
      <c r="A48" s="1" t="s">
        <v>206</v>
      </c>
      <c r="B48" s="3">
        <v>51</v>
      </c>
      <c r="C48" s="4">
        <v>3.4482758620689703E-2</v>
      </c>
      <c r="D48" s="4">
        <v>0</v>
      </c>
      <c r="E48" s="4">
        <v>0</v>
      </c>
      <c r="F48" s="4">
        <v>0.10344827586206901</v>
      </c>
      <c r="G48" s="4">
        <v>0.16666666666666699</v>
      </c>
      <c r="H48" s="2" t="s">
        <v>951</v>
      </c>
      <c r="I48" s="2" t="s">
        <v>940</v>
      </c>
      <c r="J48" s="2" t="s">
        <v>921</v>
      </c>
    </row>
    <row r="49" spans="1:10" x14ac:dyDescent="0.3">
      <c r="A49" s="1" t="s">
        <v>208</v>
      </c>
      <c r="B49" s="3">
        <v>50</v>
      </c>
      <c r="C49" s="4">
        <v>3.4482758620689703E-2</v>
      </c>
      <c r="D49" s="4">
        <v>0</v>
      </c>
      <c r="E49" s="4">
        <v>0</v>
      </c>
      <c r="F49" s="4">
        <v>0.10344827586206901</v>
      </c>
      <c r="G49" s="4">
        <v>0.16666666666666699</v>
      </c>
      <c r="H49" s="2" t="s">
        <v>951</v>
      </c>
      <c r="I49" s="2" t="s">
        <v>940</v>
      </c>
      <c r="J49" s="2" t="s">
        <v>921</v>
      </c>
    </row>
    <row r="50" spans="1:10" x14ac:dyDescent="0.3">
      <c r="A50" s="1" t="s">
        <v>210</v>
      </c>
      <c r="B50" s="3">
        <v>49</v>
      </c>
      <c r="C50" s="4">
        <v>4.3478260869565202E-2</v>
      </c>
      <c r="D50" s="4">
        <v>0</v>
      </c>
      <c r="E50" s="4">
        <v>5.4794520547945202E-2</v>
      </c>
      <c r="F50" s="4">
        <v>7.2463768115942004E-2</v>
      </c>
      <c r="G50" s="4">
        <v>0.2</v>
      </c>
      <c r="H50" s="2" t="s">
        <v>952</v>
      </c>
      <c r="I50" s="2" t="s">
        <v>953</v>
      </c>
      <c r="J50" s="2" t="s">
        <v>954</v>
      </c>
    </row>
    <row r="51" spans="1:10" x14ac:dyDescent="0.3">
      <c r="A51" s="1" t="s">
        <v>213</v>
      </c>
      <c r="B51" s="3">
        <v>48</v>
      </c>
      <c r="C51" s="4">
        <v>4.3478260869565202E-2</v>
      </c>
      <c r="D51" s="4">
        <v>0</v>
      </c>
      <c r="E51" s="4">
        <v>5.4794520547945202E-2</v>
      </c>
      <c r="F51" s="4">
        <v>7.2463768115942004E-2</v>
      </c>
      <c r="G51" s="4">
        <v>0.2</v>
      </c>
      <c r="H51" s="2" t="s">
        <v>952</v>
      </c>
      <c r="I51" s="2" t="s">
        <v>953</v>
      </c>
      <c r="J51" s="2" t="s">
        <v>954</v>
      </c>
    </row>
    <row r="52" spans="1:10" x14ac:dyDescent="0.3">
      <c r="A52" s="1" t="s">
        <v>217</v>
      </c>
      <c r="B52" s="3">
        <v>47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2" t="s">
        <v>955</v>
      </c>
      <c r="I52" s="2"/>
      <c r="J52" s="2" t="s">
        <v>956</v>
      </c>
    </row>
    <row r="53" spans="1:10" x14ac:dyDescent="0.3">
      <c r="A53" s="1" t="s">
        <v>222</v>
      </c>
      <c r="B53" s="3">
        <v>46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2" t="s">
        <v>955</v>
      </c>
      <c r="I53" s="2"/>
      <c r="J53" s="2" t="s">
        <v>956</v>
      </c>
    </row>
    <row r="54" spans="1:10" x14ac:dyDescent="0.3">
      <c r="A54" s="1" t="s">
        <v>224</v>
      </c>
      <c r="B54" s="3">
        <v>45</v>
      </c>
      <c r="C54" s="4">
        <v>0.11111111111111099</v>
      </c>
      <c r="D54" s="4">
        <v>0</v>
      </c>
      <c r="E54" s="4">
        <v>0</v>
      </c>
      <c r="F54" s="4">
        <v>0.22222222222222199</v>
      </c>
      <c r="G54" s="4">
        <v>0</v>
      </c>
      <c r="H54" s="2" t="s">
        <v>922</v>
      </c>
      <c r="I54" s="2" t="s">
        <v>934</v>
      </c>
      <c r="J54" s="2" t="s">
        <v>926</v>
      </c>
    </row>
    <row r="55" spans="1:10" x14ac:dyDescent="0.3">
      <c r="A55" s="1" t="s">
        <v>227</v>
      </c>
      <c r="B55" s="3">
        <v>44</v>
      </c>
      <c r="C55" s="4">
        <v>0.11111111111111099</v>
      </c>
      <c r="D55" s="4">
        <v>0</v>
      </c>
      <c r="E55" s="4">
        <v>0</v>
      </c>
      <c r="F55" s="4">
        <v>0.22222222222222199</v>
      </c>
      <c r="G55" s="4">
        <v>0</v>
      </c>
      <c r="H55" s="2" t="s">
        <v>922</v>
      </c>
      <c r="I55" s="2" t="s">
        <v>934</v>
      </c>
      <c r="J55" s="2" t="s">
        <v>926</v>
      </c>
    </row>
    <row r="56" spans="1:10" x14ac:dyDescent="0.3">
      <c r="A56" s="1" t="s">
        <v>231</v>
      </c>
      <c r="B56" s="3">
        <v>43</v>
      </c>
      <c r="C56" s="4">
        <v>0.14492753623188401</v>
      </c>
      <c r="D56" s="4">
        <v>0</v>
      </c>
      <c r="E56" s="4">
        <v>0</v>
      </c>
      <c r="F56" s="4">
        <v>0.202898550724638</v>
      </c>
      <c r="G56" s="4">
        <v>7.1428571428571397E-2</v>
      </c>
      <c r="H56" s="2" t="s">
        <v>948</v>
      </c>
      <c r="I56" s="2" t="s">
        <v>957</v>
      </c>
      <c r="J56" s="2" t="s">
        <v>958</v>
      </c>
    </row>
    <row r="57" spans="1:10" x14ac:dyDescent="0.3">
      <c r="A57" s="1" t="s">
        <v>235</v>
      </c>
      <c r="B57" s="3">
        <v>42</v>
      </c>
      <c r="C57" s="4">
        <v>0.14492753623188401</v>
      </c>
      <c r="D57" s="4">
        <v>0</v>
      </c>
      <c r="E57" s="4">
        <v>0</v>
      </c>
      <c r="F57" s="4">
        <v>0.202898550724638</v>
      </c>
      <c r="G57" s="4">
        <v>7.1428571428571397E-2</v>
      </c>
      <c r="H57" s="2" t="s">
        <v>948</v>
      </c>
      <c r="I57" s="2" t="s">
        <v>957</v>
      </c>
      <c r="J57" s="2" t="s">
        <v>958</v>
      </c>
    </row>
    <row r="58" spans="1:10" x14ac:dyDescent="0.3">
      <c r="A58" s="1" t="s">
        <v>237</v>
      </c>
      <c r="B58" s="3">
        <v>41</v>
      </c>
      <c r="C58" s="4">
        <v>6.7796610169491497E-2</v>
      </c>
      <c r="D58" s="4">
        <v>0</v>
      </c>
      <c r="E58" s="4">
        <v>0</v>
      </c>
      <c r="F58" s="4">
        <v>0.11864406779661001</v>
      </c>
      <c r="G58" s="4">
        <v>0</v>
      </c>
      <c r="H58" s="2" t="s">
        <v>959</v>
      </c>
      <c r="I58" s="2" t="s">
        <v>960</v>
      </c>
      <c r="J58" s="2" t="s">
        <v>924</v>
      </c>
    </row>
    <row r="59" spans="1:10" x14ac:dyDescent="0.3">
      <c r="A59" s="1" t="s">
        <v>239</v>
      </c>
      <c r="B59" s="3">
        <v>40</v>
      </c>
      <c r="C59" s="4">
        <v>6.7796610169491497E-2</v>
      </c>
      <c r="D59" s="4">
        <v>0</v>
      </c>
      <c r="E59" s="4">
        <v>0</v>
      </c>
      <c r="F59" s="4">
        <v>0.11864406779661001</v>
      </c>
      <c r="G59" s="4">
        <v>0</v>
      </c>
      <c r="H59" s="2" t="s">
        <v>959</v>
      </c>
      <c r="I59" s="2" t="s">
        <v>960</v>
      </c>
      <c r="J59" s="2" t="s">
        <v>924</v>
      </c>
    </row>
    <row r="60" spans="1:10" x14ac:dyDescent="0.3">
      <c r="A60" s="1" t="s">
        <v>242</v>
      </c>
      <c r="B60" s="3">
        <v>39</v>
      </c>
      <c r="C60" s="4">
        <v>2.6315789473684199E-2</v>
      </c>
      <c r="D60" s="4">
        <v>0</v>
      </c>
      <c r="E60" s="4">
        <v>4.9382716049382699E-2</v>
      </c>
      <c r="F60" s="4">
        <v>7.8947368421052599E-2</v>
      </c>
      <c r="G60" s="4">
        <v>0.16666666666666699</v>
      </c>
      <c r="H60" s="2" t="s">
        <v>961</v>
      </c>
      <c r="I60" s="2" t="s">
        <v>962</v>
      </c>
      <c r="J60" s="2" t="s">
        <v>954</v>
      </c>
    </row>
    <row r="61" spans="1:10" x14ac:dyDescent="0.3">
      <c r="A61" s="1" t="s">
        <v>247</v>
      </c>
      <c r="B61" s="3">
        <v>38</v>
      </c>
      <c r="C61" s="4">
        <v>2.6315789473684199E-2</v>
      </c>
      <c r="D61" s="4">
        <v>0</v>
      </c>
      <c r="E61" s="4">
        <v>4.9382716049382699E-2</v>
      </c>
      <c r="F61" s="4">
        <v>7.8947368421052599E-2</v>
      </c>
      <c r="G61" s="4">
        <v>0.16666666666666699</v>
      </c>
      <c r="H61" s="2" t="s">
        <v>961</v>
      </c>
      <c r="I61" s="2" t="s">
        <v>962</v>
      </c>
      <c r="J61" s="2" t="s">
        <v>954</v>
      </c>
    </row>
    <row r="62" spans="1:10" x14ac:dyDescent="0.3">
      <c r="A62" s="1" t="s">
        <v>252</v>
      </c>
      <c r="B62" s="3">
        <v>37</v>
      </c>
      <c r="C62" s="4">
        <v>3.7974683544303799E-2</v>
      </c>
      <c r="D62" s="4">
        <v>0</v>
      </c>
      <c r="E62" s="4">
        <v>0</v>
      </c>
      <c r="F62" s="4">
        <v>7.5949367088607597E-2</v>
      </c>
      <c r="G62" s="4">
        <v>0.16666666666666699</v>
      </c>
      <c r="H62" s="2" t="s">
        <v>963</v>
      </c>
      <c r="I62" s="2" t="s">
        <v>957</v>
      </c>
      <c r="J62" s="2" t="s">
        <v>934</v>
      </c>
    </row>
    <row r="63" spans="1:10" x14ac:dyDescent="0.3">
      <c r="A63" s="1" t="s">
        <v>255</v>
      </c>
      <c r="B63" s="3">
        <v>36</v>
      </c>
      <c r="C63" s="4">
        <v>3.7974683544303799E-2</v>
      </c>
      <c r="D63" s="4">
        <v>0</v>
      </c>
      <c r="E63" s="4">
        <v>0</v>
      </c>
      <c r="F63" s="4">
        <v>7.5949367088607597E-2</v>
      </c>
      <c r="G63" s="4">
        <v>0.16666666666666699</v>
      </c>
      <c r="H63" s="2" t="s">
        <v>963</v>
      </c>
      <c r="I63" s="2" t="s">
        <v>957</v>
      </c>
      <c r="J63" s="2" t="s">
        <v>934</v>
      </c>
    </row>
    <row r="64" spans="1:10" x14ac:dyDescent="0.3">
      <c r="A64" s="1" t="s">
        <v>258</v>
      </c>
      <c r="B64" s="3">
        <v>35</v>
      </c>
      <c r="C64" s="4">
        <v>8.7719298245614002E-2</v>
      </c>
      <c r="D64" s="4">
        <v>0</v>
      </c>
      <c r="E64" s="4">
        <v>0</v>
      </c>
      <c r="F64" s="4">
        <v>0.105263157894737</v>
      </c>
      <c r="G64" s="4">
        <v>0</v>
      </c>
      <c r="H64" s="2" t="s">
        <v>964</v>
      </c>
      <c r="I64" s="2" t="s">
        <v>957</v>
      </c>
      <c r="J64" s="2" t="s">
        <v>965</v>
      </c>
    </row>
    <row r="65" spans="1:10" x14ac:dyDescent="0.3">
      <c r="A65" s="1" t="s">
        <v>262</v>
      </c>
      <c r="B65" s="3">
        <v>34</v>
      </c>
      <c r="C65" s="4">
        <v>8.7719298245614002E-2</v>
      </c>
      <c r="D65" s="4">
        <v>0</v>
      </c>
      <c r="E65" s="4">
        <v>0</v>
      </c>
      <c r="F65" s="4">
        <v>0.105263157894737</v>
      </c>
      <c r="G65" s="4">
        <v>0</v>
      </c>
      <c r="H65" s="2" t="s">
        <v>964</v>
      </c>
      <c r="I65" s="2" t="s">
        <v>957</v>
      </c>
      <c r="J65" s="2" t="s">
        <v>965</v>
      </c>
    </row>
    <row r="66" spans="1:10" x14ac:dyDescent="0.3">
      <c r="A66" s="1" t="s">
        <v>268</v>
      </c>
      <c r="B66" s="3">
        <v>33</v>
      </c>
      <c r="C66" s="4">
        <v>0.107692307692308</v>
      </c>
      <c r="D66" s="4">
        <v>0</v>
      </c>
      <c r="E66" s="4">
        <v>0</v>
      </c>
      <c r="F66" s="4">
        <v>0.16923076923076899</v>
      </c>
      <c r="G66" s="4">
        <v>0</v>
      </c>
      <c r="H66" s="2" t="s">
        <v>966</v>
      </c>
      <c r="I66" s="2" t="s">
        <v>920</v>
      </c>
      <c r="J66" s="2" t="s">
        <v>921</v>
      </c>
    </row>
    <row r="67" spans="1:10" x14ac:dyDescent="0.3">
      <c r="A67" s="1" t="s">
        <v>272</v>
      </c>
      <c r="B67" s="3">
        <v>32</v>
      </c>
      <c r="C67" s="4">
        <v>0.107692307692308</v>
      </c>
      <c r="D67" s="4">
        <v>0</v>
      </c>
      <c r="E67" s="4">
        <v>0</v>
      </c>
      <c r="F67" s="4">
        <v>0.16923076923076899</v>
      </c>
      <c r="G67" s="4">
        <v>0</v>
      </c>
      <c r="H67" s="2" t="s">
        <v>966</v>
      </c>
      <c r="I67" s="2" t="s">
        <v>920</v>
      </c>
      <c r="J67" s="2" t="s">
        <v>921</v>
      </c>
    </row>
    <row r="68" spans="1:10" x14ac:dyDescent="0.3">
      <c r="A68" s="1" t="s">
        <v>275</v>
      </c>
      <c r="B68" s="3">
        <v>31</v>
      </c>
      <c r="C68" s="4">
        <v>7.3529411764705899E-2</v>
      </c>
      <c r="D68" s="4">
        <v>0</v>
      </c>
      <c r="E68" s="4">
        <v>0</v>
      </c>
      <c r="F68" s="4">
        <v>0.13235294117647001</v>
      </c>
      <c r="G68" s="4">
        <v>0</v>
      </c>
      <c r="H68" s="2" t="s">
        <v>967</v>
      </c>
      <c r="I68" s="2" t="s">
        <v>12</v>
      </c>
      <c r="J68" s="2" t="s">
        <v>911</v>
      </c>
    </row>
    <row r="69" spans="1:10" x14ac:dyDescent="0.3">
      <c r="A69" s="1" t="s">
        <v>279</v>
      </c>
      <c r="B69" s="3">
        <v>30</v>
      </c>
      <c r="C69" s="4">
        <v>7.3529411764705899E-2</v>
      </c>
      <c r="D69" s="4">
        <v>0</v>
      </c>
      <c r="E69" s="4">
        <v>0</v>
      </c>
      <c r="F69" s="4">
        <v>0.13235294117647001</v>
      </c>
      <c r="G69" s="4">
        <v>0</v>
      </c>
      <c r="H69" s="2" t="s">
        <v>967</v>
      </c>
      <c r="I69" s="2" t="s">
        <v>12</v>
      </c>
      <c r="J69" s="2" t="s">
        <v>911</v>
      </c>
    </row>
    <row r="70" spans="1:10" x14ac:dyDescent="0.3">
      <c r="A70" s="1" t="s">
        <v>283</v>
      </c>
      <c r="B70" s="3">
        <v>29</v>
      </c>
      <c r="C70" s="4">
        <v>0.05</v>
      </c>
      <c r="D70" s="4">
        <v>0</v>
      </c>
      <c r="E70" s="4">
        <v>0</v>
      </c>
      <c r="F70" s="4">
        <v>0.1</v>
      </c>
      <c r="G70" s="4">
        <v>0</v>
      </c>
      <c r="H70" s="2" t="s">
        <v>929</v>
      </c>
      <c r="I70" s="2" t="s">
        <v>910</v>
      </c>
      <c r="J70" s="2" t="s">
        <v>913</v>
      </c>
    </row>
    <row r="71" spans="1:10" x14ac:dyDescent="0.3">
      <c r="A71" s="1" t="s">
        <v>284</v>
      </c>
      <c r="B71" s="3">
        <v>28</v>
      </c>
      <c r="C71" s="4">
        <v>0.05</v>
      </c>
      <c r="D71" s="4">
        <v>0</v>
      </c>
      <c r="E71" s="4">
        <v>0</v>
      </c>
      <c r="F71" s="4">
        <v>0.1</v>
      </c>
      <c r="G71" s="4">
        <v>0</v>
      </c>
      <c r="H71" s="2" t="s">
        <v>929</v>
      </c>
      <c r="I71" s="2" t="s">
        <v>910</v>
      </c>
      <c r="J71" s="2" t="s">
        <v>913</v>
      </c>
    </row>
    <row r="72" spans="1:10" x14ac:dyDescent="0.3">
      <c r="A72" s="1" t="s">
        <v>289</v>
      </c>
      <c r="B72" s="3">
        <v>29</v>
      </c>
      <c r="C72" s="4">
        <v>7.1428571428571397E-2</v>
      </c>
      <c r="D72" s="4">
        <v>0</v>
      </c>
      <c r="E72" s="4">
        <v>0</v>
      </c>
      <c r="F72" s="4">
        <v>8.9285714285714302E-2</v>
      </c>
      <c r="G72" s="4">
        <v>0</v>
      </c>
      <c r="H72" s="2" t="s">
        <v>912</v>
      </c>
      <c r="I72" s="2" t="s">
        <v>920</v>
      </c>
      <c r="J72" s="2" t="s">
        <v>913</v>
      </c>
    </row>
    <row r="73" spans="1:10" x14ac:dyDescent="0.3">
      <c r="A73" s="1" t="s">
        <v>291</v>
      </c>
      <c r="B73" s="3">
        <v>30</v>
      </c>
      <c r="C73" s="4">
        <v>7.1428571428571397E-2</v>
      </c>
      <c r="D73" s="4">
        <v>0</v>
      </c>
      <c r="E73" s="4">
        <v>0</v>
      </c>
      <c r="F73" s="4">
        <v>8.9285714285714302E-2</v>
      </c>
      <c r="G73" s="4">
        <v>0</v>
      </c>
      <c r="H73" s="2" t="s">
        <v>912</v>
      </c>
      <c r="I73" s="2" t="s">
        <v>920</v>
      </c>
      <c r="J73" s="2" t="s">
        <v>913</v>
      </c>
    </row>
    <row r="74" spans="1:10" x14ac:dyDescent="0.3">
      <c r="A74" s="1" t="s">
        <v>295</v>
      </c>
      <c r="B74" s="3">
        <v>31</v>
      </c>
      <c r="C74" s="4">
        <v>7.69230769230769E-2</v>
      </c>
      <c r="D74" s="4">
        <v>0</v>
      </c>
      <c r="E74" s="4">
        <v>0</v>
      </c>
      <c r="F74" s="4">
        <v>7.69230769230769E-2</v>
      </c>
      <c r="G74" s="4">
        <v>0</v>
      </c>
      <c r="H74" s="2" t="s">
        <v>968</v>
      </c>
      <c r="I74" s="2" t="s">
        <v>12</v>
      </c>
      <c r="J74" s="2" t="s">
        <v>911</v>
      </c>
    </row>
    <row r="75" spans="1:10" x14ac:dyDescent="0.3">
      <c r="A75" s="1" t="s">
        <v>299</v>
      </c>
      <c r="B75" s="3">
        <v>32</v>
      </c>
      <c r="C75" s="4">
        <v>7.69230769230769E-2</v>
      </c>
      <c r="D75" s="4">
        <v>0</v>
      </c>
      <c r="E75" s="4">
        <v>0</v>
      </c>
      <c r="F75" s="4">
        <v>7.69230769230769E-2</v>
      </c>
      <c r="G75" s="4">
        <v>0</v>
      </c>
      <c r="H75" s="2" t="s">
        <v>968</v>
      </c>
      <c r="I75" s="2" t="s">
        <v>12</v>
      </c>
      <c r="J75" s="2" t="s">
        <v>911</v>
      </c>
    </row>
    <row r="76" spans="1:10" x14ac:dyDescent="0.3">
      <c r="A76" s="1" t="s">
        <v>302</v>
      </c>
      <c r="B76" s="3">
        <v>33</v>
      </c>
      <c r="C76" s="4">
        <v>5.4054054054054099E-2</v>
      </c>
      <c r="D76" s="4">
        <v>0</v>
      </c>
      <c r="E76" s="4">
        <v>0</v>
      </c>
      <c r="F76" s="4">
        <v>8.1081081081081099E-2</v>
      </c>
      <c r="G76" s="4">
        <v>0</v>
      </c>
      <c r="H76" s="2" t="s">
        <v>969</v>
      </c>
      <c r="I76" s="2" t="s">
        <v>960</v>
      </c>
      <c r="J76" s="2" t="s">
        <v>937</v>
      </c>
    </row>
    <row r="77" spans="1:10" x14ac:dyDescent="0.3">
      <c r="A77" s="1" t="s">
        <v>305</v>
      </c>
      <c r="B77" s="3">
        <v>34</v>
      </c>
      <c r="C77" s="4">
        <v>5.4054054054054099E-2</v>
      </c>
      <c r="D77" s="4">
        <v>0</v>
      </c>
      <c r="E77" s="4">
        <v>0</v>
      </c>
      <c r="F77" s="4">
        <v>8.1081081081081099E-2</v>
      </c>
      <c r="G77" s="4">
        <v>0</v>
      </c>
      <c r="H77" s="2" t="s">
        <v>969</v>
      </c>
      <c r="I77" s="2" t="s">
        <v>960</v>
      </c>
      <c r="J77" s="2" t="s">
        <v>937</v>
      </c>
    </row>
    <row r="78" spans="1:10" x14ac:dyDescent="0.3">
      <c r="A78" s="1" t="s">
        <v>309</v>
      </c>
      <c r="B78" s="3">
        <v>35</v>
      </c>
      <c r="C78" s="4">
        <v>5.63380281690141E-2</v>
      </c>
      <c r="D78" s="4">
        <v>0</v>
      </c>
      <c r="E78" s="4">
        <v>0</v>
      </c>
      <c r="F78" s="4">
        <v>9.85915492957746E-2</v>
      </c>
      <c r="G78" s="4">
        <v>0</v>
      </c>
      <c r="H78" s="2" t="s">
        <v>952</v>
      </c>
      <c r="I78" s="2" t="s">
        <v>12</v>
      </c>
      <c r="J78" s="2" t="s">
        <v>921</v>
      </c>
    </row>
    <row r="79" spans="1:10" x14ac:dyDescent="0.3">
      <c r="A79" s="1" t="s">
        <v>315</v>
      </c>
      <c r="B79" s="3">
        <v>36</v>
      </c>
      <c r="C79" s="4">
        <v>5.63380281690141E-2</v>
      </c>
      <c r="D79" s="4">
        <v>0</v>
      </c>
      <c r="E79" s="4">
        <v>0</v>
      </c>
      <c r="F79" s="4">
        <v>9.85915492957746E-2</v>
      </c>
      <c r="G79" s="4">
        <v>0</v>
      </c>
      <c r="H79" s="2" t="s">
        <v>952</v>
      </c>
      <c r="I79" s="2" t="s">
        <v>12</v>
      </c>
      <c r="J79" s="2" t="s">
        <v>921</v>
      </c>
    </row>
    <row r="80" spans="1:10" x14ac:dyDescent="0.3">
      <c r="A80" s="1" t="s">
        <v>320</v>
      </c>
      <c r="B80" s="3">
        <v>37</v>
      </c>
      <c r="C80" s="4">
        <v>0.13636363636363599</v>
      </c>
      <c r="D80" s="4">
        <v>0</v>
      </c>
      <c r="E80" s="4">
        <v>0</v>
      </c>
      <c r="F80" s="4">
        <v>0.18181818181818199</v>
      </c>
      <c r="G80" s="4">
        <v>8.3333333333333301E-2</v>
      </c>
      <c r="H80" s="2" t="s">
        <v>970</v>
      </c>
      <c r="I80" s="2" t="s">
        <v>920</v>
      </c>
      <c r="J80" s="2" t="s">
        <v>971</v>
      </c>
    </row>
    <row r="81" spans="1:10" x14ac:dyDescent="0.3">
      <c r="A81" s="1" t="s">
        <v>323</v>
      </c>
      <c r="B81" s="3">
        <v>38</v>
      </c>
      <c r="C81" s="4">
        <v>0.13636363636363599</v>
      </c>
      <c r="D81" s="4">
        <v>0</v>
      </c>
      <c r="E81" s="4">
        <v>0</v>
      </c>
      <c r="F81" s="4">
        <v>0.18181818181818199</v>
      </c>
      <c r="G81" s="4">
        <v>8.3333333333333301E-2</v>
      </c>
      <c r="H81" s="2" t="s">
        <v>970</v>
      </c>
      <c r="I81" s="2" t="s">
        <v>920</v>
      </c>
      <c r="J81" s="2" t="s">
        <v>971</v>
      </c>
    </row>
    <row r="82" spans="1:10" x14ac:dyDescent="0.3">
      <c r="A82" s="1" t="s">
        <v>328</v>
      </c>
      <c r="B82" s="3">
        <v>39</v>
      </c>
      <c r="C82" s="4">
        <v>8.8235294117647106E-2</v>
      </c>
      <c r="D82" s="4">
        <v>0</v>
      </c>
      <c r="E82" s="4">
        <v>0</v>
      </c>
      <c r="F82" s="4">
        <v>8.8235294117647106E-2</v>
      </c>
      <c r="G82" s="4">
        <v>0</v>
      </c>
      <c r="H82" s="2" t="s">
        <v>972</v>
      </c>
      <c r="I82" s="2" t="s">
        <v>12</v>
      </c>
      <c r="J82" s="2" t="s">
        <v>913</v>
      </c>
    </row>
    <row r="83" spans="1:10" x14ac:dyDescent="0.3">
      <c r="A83" s="1" t="s">
        <v>333</v>
      </c>
      <c r="B83" s="3">
        <v>40</v>
      </c>
      <c r="C83" s="4">
        <v>8.8235294117647106E-2</v>
      </c>
      <c r="D83" s="4">
        <v>0</v>
      </c>
      <c r="E83" s="4">
        <v>0</v>
      </c>
      <c r="F83" s="4">
        <v>8.8235294117647106E-2</v>
      </c>
      <c r="G83" s="4">
        <v>0</v>
      </c>
      <c r="H83" s="2" t="s">
        <v>972</v>
      </c>
      <c r="I83" s="2" t="s">
        <v>12</v>
      </c>
      <c r="J83" s="2" t="s">
        <v>913</v>
      </c>
    </row>
    <row r="84" spans="1:10" x14ac:dyDescent="0.3">
      <c r="A84" s="1" t="s">
        <v>337</v>
      </c>
      <c r="B84" s="3">
        <v>41</v>
      </c>
      <c r="C84" s="4">
        <v>3.7037037037037E-2</v>
      </c>
      <c r="D84" s="4">
        <v>0</v>
      </c>
      <c r="E84" s="4">
        <v>0</v>
      </c>
      <c r="F84" s="4">
        <v>0.12962962962963001</v>
      </c>
      <c r="G84" s="4">
        <v>0.28571428571428598</v>
      </c>
      <c r="H84" s="2" t="s">
        <v>21</v>
      </c>
      <c r="I84" s="2" t="s">
        <v>973</v>
      </c>
      <c r="J84" s="2" t="s">
        <v>945</v>
      </c>
    </row>
    <row r="85" spans="1:10" x14ac:dyDescent="0.3">
      <c r="A85" s="1" t="s">
        <v>339</v>
      </c>
      <c r="B85" s="3">
        <v>42</v>
      </c>
      <c r="C85" s="4">
        <v>3.7037037037037E-2</v>
      </c>
      <c r="D85" s="4">
        <v>0</v>
      </c>
      <c r="E85" s="4">
        <v>0</v>
      </c>
      <c r="F85" s="4">
        <v>0.12962962962963001</v>
      </c>
      <c r="G85" s="4">
        <v>0.28571428571428598</v>
      </c>
      <c r="H85" s="2" t="s">
        <v>21</v>
      </c>
      <c r="I85" s="2" t="s">
        <v>973</v>
      </c>
      <c r="J85" s="2" t="s">
        <v>945</v>
      </c>
    </row>
    <row r="86" spans="1:10" x14ac:dyDescent="0.3">
      <c r="A86" s="1" t="s">
        <v>342</v>
      </c>
      <c r="B86" s="3">
        <v>43</v>
      </c>
      <c r="C86" s="4">
        <v>4.08163265306122E-2</v>
      </c>
      <c r="D86" s="4">
        <v>0</v>
      </c>
      <c r="E86" s="4">
        <v>0</v>
      </c>
      <c r="F86" s="4">
        <v>6.1224489795918401E-2</v>
      </c>
      <c r="G86" s="4">
        <v>0</v>
      </c>
      <c r="H86" s="2" t="s">
        <v>462</v>
      </c>
      <c r="I86" s="2" t="s">
        <v>910</v>
      </c>
      <c r="J86" s="2" t="s">
        <v>926</v>
      </c>
    </row>
    <row r="87" spans="1:10" x14ac:dyDescent="0.3">
      <c r="A87" s="1" t="s">
        <v>345</v>
      </c>
      <c r="B87" s="3">
        <v>44</v>
      </c>
      <c r="C87" s="4">
        <v>4.08163265306122E-2</v>
      </c>
      <c r="D87" s="4">
        <v>0</v>
      </c>
      <c r="E87" s="4">
        <v>0</v>
      </c>
      <c r="F87" s="4">
        <v>6.1224489795918401E-2</v>
      </c>
      <c r="G87" s="4">
        <v>0</v>
      </c>
      <c r="H87" s="2" t="s">
        <v>462</v>
      </c>
      <c r="I87" s="2" t="s">
        <v>910</v>
      </c>
      <c r="J87" s="2" t="s">
        <v>926</v>
      </c>
    </row>
    <row r="88" spans="1:10" x14ac:dyDescent="0.3">
      <c r="A88" s="1" t="s">
        <v>350</v>
      </c>
      <c r="B88" s="3">
        <v>45</v>
      </c>
      <c r="C88" s="4">
        <v>7.5471698113207503E-2</v>
      </c>
      <c r="D88" s="4">
        <v>0</v>
      </c>
      <c r="E88" s="4">
        <v>0</v>
      </c>
      <c r="F88" s="4">
        <v>0.113207547169811</v>
      </c>
      <c r="G88" s="4">
        <v>0</v>
      </c>
      <c r="H88" s="2" t="s">
        <v>974</v>
      </c>
      <c r="I88" s="2" t="s">
        <v>926</v>
      </c>
      <c r="J88" s="2" t="s">
        <v>934</v>
      </c>
    </row>
    <row r="89" spans="1:10" x14ac:dyDescent="0.3">
      <c r="A89" s="1" t="s">
        <v>354</v>
      </c>
      <c r="B89" s="3">
        <v>46</v>
      </c>
      <c r="C89" s="4">
        <v>7.5471698113207503E-2</v>
      </c>
      <c r="D89" s="4">
        <v>0</v>
      </c>
      <c r="E89" s="4">
        <v>0</v>
      </c>
      <c r="F89" s="4">
        <v>0.113207547169811</v>
      </c>
      <c r="G89" s="4">
        <v>0</v>
      </c>
      <c r="H89" s="2" t="s">
        <v>974</v>
      </c>
      <c r="I89" s="2" t="s">
        <v>926</v>
      </c>
      <c r="J89" s="2" t="s">
        <v>934</v>
      </c>
    </row>
    <row r="90" spans="1:10" x14ac:dyDescent="0.3">
      <c r="A90" s="1" t="s">
        <v>360</v>
      </c>
      <c r="B90" s="3">
        <v>47</v>
      </c>
      <c r="C90" s="4">
        <v>3.0769230769230799E-2</v>
      </c>
      <c r="D90" s="4">
        <v>1.5384615384615399E-2</v>
      </c>
      <c r="E90" s="4">
        <v>0</v>
      </c>
      <c r="F90" s="4">
        <v>7.69230769230769E-2</v>
      </c>
      <c r="G90" s="4">
        <v>0.4</v>
      </c>
      <c r="H90" s="2" t="s">
        <v>967</v>
      </c>
      <c r="I90" s="2" t="s">
        <v>973</v>
      </c>
      <c r="J90" s="2" t="s">
        <v>913</v>
      </c>
    </row>
    <row r="91" spans="1:10" x14ac:dyDescent="0.3">
      <c r="A91" s="1" t="s">
        <v>367</v>
      </c>
      <c r="B91" s="3">
        <v>48</v>
      </c>
      <c r="C91" s="4">
        <v>3.0769230769230799E-2</v>
      </c>
      <c r="D91" s="4">
        <v>1.5384615384615399E-2</v>
      </c>
      <c r="E91" s="4">
        <v>0</v>
      </c>
      <c r="F91" s="4">
        <v>7.69230769230769E-2</v>
      </c>
      <c r="G91" s="4">
        <v>0.4</v>
      </c>
      <c r="H91" s="2" t="s">
        <v>967</v>
      </c>
      <c r="I91" s="2" t="s">
        <v>973</v>
      </c>
      <c r="J91" s="2" t="s">
        <v>913</v>
      </c>
    </row>
    <row r="92" spans="1:10" x14ac:dyDescent="0.3">
      <c r="A92" s="1" t="s">
        <v>371</v>
      </c>
      <c r="B92" s="3">
        <v>49</v>
      </c>
      <c r="C92" s="4">
        <v>6.7796610169491497E-2</v>
      </c>
      <c r="D92" s="4">
        <v>0</v>
      </c>
      <c r="E92" s="4">
        <v>0</v>
      </c>
      <c r="F92" s="4">
        <v>0.101694915254237</v>
      </c>
      <c r="G92" s="4">
        <v>0</v>
      </c>
      <c r="H92" s="2" t="s">
        <v>912</v>
      </c>
      <c r="I92" s="2" t="s">
        <v>958</v>
      </c>
      <c r="J92" s="2" t="s">
        <v>926</v>
      </c>
    </row>
    <row r="93" spans="1:10" x14ac:dyDescent="0.3">
      <c r="A93" s="1" t="s">
        <v>374</v>
      </c>
      <c r="B93" s="3">
        <v>50</v>
      </c>
      <c r="C93" s="4">
        <v>6.7796610169491497E-2</v>
      </c>
      <c r="D93" s="4">
        <v>0</v>
      </c>
      <c r="E93" s="4">
        <v>0</v>
      </c>
      <c r="F93" s="4">
        <v>0.101694915254237</v>
      </c>
      <c r="G93" s="4">
        <v>0</v>
      </c>
      <c r="H93" s="2" t="s">
        <v>912</v>
      </c>
      <c r="I93" s="2" t="s">
        <v>958</v>
      </c>
      <c r="J93" s="2" t="s">
        <v>926</v>
      </c>
    </row>
    <row r="94" spans="1:10" x14ac:dyDescent="0.3">
      <c r="A94" s="1" t="s">
        <v>379</v>
      </c>
      <c r="B94" s="3">
        <v>51</v>
      </c>
      <c r="C94" s="4">
        <v>6.0606060606060601E-2</v>
      </c>
      <c r="D94" s="4">
        <v>0</v>
      </c>
      <c r="E94" s="4">
        <v>0</v>
      </c>
      <c r="F94" s="4">
        <v>0.10606060606060599</v>
      </c>
      <c r="G94" s="4">
        <v>0</v>
      </c>
      <c r="H94" s="2" t="s">
        <v>909</v>
      </c>
      <c r="I94" s="2" t="s">
        <v>975</v>
      </c>
      <c r="J94" s="2" t="s">
        <v>954</v>
      </c>
    </row>
    <row r="95" spans="1:10" x14ac:dyDescent="0.3">
      <c r="A95" s="1" t="s">
        <v>381</v>
      </c>
      <c r="B95" s="3">
        <v>52</v>
      </c>
      <c r="C95" s="4">
        <v>6.0606060606060601E-2</v>
      </c>
      <c r="D95" s="4">
        <v>0</v>
      </c>
      <c r="E95" s="4">
        <v>0</v>
      </c>
      <c r="F95" s="4">
        <v>0.10606060606060599</v>
      </c>
      <c r="G95" s="4">
        <v>0</v>
      </c>
      <c r="H95" s="2" t="s">
        <v>909</v>
      </c>
      <c r="I95" s="2" t="s">
        <v>975</v>
      </c>
      <c r="J95" s="2" t="s">
        <v>954</v>
      </c>
    </row>
    <row r="96" spans="1:10" x14ac:dyDescent="0.3">
      <c r="A96" s="1" t="s">
        <v>386</v>
      </c>
      <c r="B96" s="3">
        <v>53</v>
      </c>
      <c r="C96" s="4">
        <v>5.9701492537313397E-2</v>
      </c>
      <c r="D96" s="4">
        <v>0</v>
      </c>
      <c r="E96" s="4">
        <v>0</v>
      </c>
      <c r="F96" s="4">
        <v>5.9701492537313397E-2</v>
      </c>
      <c r="G96" s="4">
        <v>0</v>
      </c>
      <c r="H96" s="2" t="s">
        <v>976</v>
      </c>
      <c r="I96" s="2" t="s">
        <v>376</v>
      </c>
      <c r="J96" s="2" t="s">
        <v>926</v>
      </c>
    </row>
    <row r="97" spans="1:10" x14ac:dyDescent="0.3">
      <c r="A97" s="1" t="s">
        <v>391</v>
      </c>
      <c r="B97" s="3">
        <v>54</v>
      </c>
      <c r="C97" s="4">
        <v>5.9701492537313397E-2</v>
      </c>
      <c r="D97" s="4">
        <v>0</v>
      </c>
      <c r="E97" s="4">
        <v>0</v>
      </c>
      <c r="F97" s="4">
        <v>5.9701492537313397E-2</v>
      </c>
      <c r="G97" s="4">
        <v>0</v>
      </c>
      <c r="H97" s="2" t="s">
        <v>976</v>
      </c>
      <c r="I97" s="2" t="s">
        <v>376</v>
      </c>
      <c r="J97" s="2" t="s">
        <v>926</v>
      </c>
    </row>
    <row r="98" spans="1:10" x14ac:dyDescent="0.3">
      <c r="A98" s="1" t="s">
        <v>396</v>
      </c>
      <c r="B98" s="3">
        <v>55</v>
      </c>
      <c r="C98" s="4">
        <v>0</v>
      </c>
      <c r="D98" s="4">
        <v>0</v>
      </c>
      <c r="E98" s="4">
        <v>0</v>
      </c>
      <c r="F98" s="4">
        <v>2.8571428571428598E-2</v>
      </c>
      <c r="G98" s="4">
        <v>1</v>
      </c>
      <c r="H98" s="2" t="s">
        <v>977</v>
      </c>
      <c r="I98" s="2" t="s">
        <v>12</v>
      </c>
      <c r="J98" s="2" t="s">
        <v>978</v>
      </c>
    </row>
    <row r="99" spans="1:10" x14ac:dyDescent="0.3">
      <c r="A99" s="1" t="s">
        <v>400</v>
      </c>
      <c r="B99" s="3">
        <v>56</v>
      </c>
      <c r="C99" s="4">
        <v>0</v>
      </c>
      <c r="D99" s="4">
        <v>0</v>
      </c>
      <c r="E99" s="4">
        <v>0</v>
      </c>
      <c r="F99" s="4">
        <v>2.8571428571428598E-2</v>
      </c>
      <c r="G99" s="4">
        <v>1</v>
      </c>
      <c r="H99" s="2" t="s">
        <v>977</v>
      </c>
      <c r="I99" s="2" t="s">
        <v>12</v>
      </c>
      <c r="J99" s="2" t="s">
        <v>978</v>
      </c>
    </row>
    <row r="100" spans="1:10" x14ac:dyDescent="0.3">
      <c r="A100" s="1" t="s">
        <v>405</v>
      </c>
      <c r="B100" s="3">
        <v>57</v>
      </c>
      <c r="C100" s="4">
        <v>4.7619047619047603E-2</v>
      </c>
      <c r="D100" s="4">
        <v>0</v>
      </c>
      <c r="E100" s="4">
        <v>0</v>
      </c>
      <c r="F100" s="4">
        <v>0.119047619047619</v>
      </c>
      <c r="G100" s="4">
        <v>0</v>
      </c>
      <c r="H100" s="2" t="s">
        <v>966</v>
      </c>
      <c r="I100" s="2" t="s">
        <v>979</v>
      </c>
      <c r="J100" s="2" t="s">
        <v>956</v>
      </c>
    </row>
    <row r="101" spans="1:10" x14ac:dyDescent="0.3">
      <c r="A101" s="1" t="s">
        <v>407</v>
      </c>
      <c r="B101" s="3">
        <v>58</v>
      </c>
      <c r="C101" s="4">
        <v>4.7619047619047603E-2</v>
      </c>
      <c r="D101" s="4">
        <v>0</v>
      </c>
      <c r="E101" s="4">
        <v>0</v>
      </c>
      <c r="F101" s="4">
        <v>0.119047619047619</v>
      </c>
      <c r="G101" s="4">
        <v>0</v>
      </c>
      <c r="H101" s="2" t="s">
        <v>966</v>
      </c>
      <c r="I101" s="2" t="s">
        <v>979</v>
      </c>
      <c r="J101" s="2" t="s">
        <v>956</v>
      </c>
    </row>
    <row r="102" spans="1:10" x14ac:dyDescent="0.3">
      <c r="A102" s="1" t="s">
        <v>410</v>
      </c>
      <c r="B102" s="3">
        <v>59</v>
      </c>
      <c r="C102" s="4">
        <v>2.9850746268656699E-2</v>
      </c>
      <c r="D102" s="4">
        <v>0</v>
      </c>
      <c r="E102" s="4">
        <v>0</v>
      </c>
      <c r="F102" s="4">
        <v>0.104477611940299</v>
      </c>
      <c r="G102" s="4">
        <v>0</v>
      </c>
      <c r="H102" s="2" t="s">
        <v>980</v>
      </c>
      <c r="I102" s="2" t="s">
        <v>376</v>
      </c>
      <c r="J102" s="2" t="s">
        <v>918</v>
      </c>
    </row>
    <row r="103" spans="1:10" x14ac:dyDescent="0.3">
      <c r="A103" s="1" t="s">
        <v>415</v>
      </c>
      <c r="B103" s="3">
        <v>60</v>
      </c>
      <c r="C103" s="4">
        <v>2.9850746268656699E-2</v>
      </c>
      <c r="D103" s="4">
        <v>0</v>
      </c>
      <c r="E103" s="4">
        <v>0</v>
      </c>
      <c r="F103" s="4">
        <v>0.104477611940299</v>
      </c>
      <c r="G103" s="4">
        <v>0</v>
      </c>
      <c r="H103" s="2" t="s">
        <v>980</v>
      </c>
      <c r="I103" s="2" t="s">
        <v>376</v>
      </c>
      <c r="J103" s="2" t="s">
        <v>918</v>
      </c>
    </row>
    <row r="104" spans="1:10" x14ac:dyDescent="0.3">
      <c r="A104" s="1" t="s">
        <v>418</v>
      </c>
      <c r="B104" s="3">
        <v>61</v>
      </c>
      <c r="C104" s="4">
        <v>2.7777777777777801E-2</v>
      </c>
      <c r="D104" s="4">
        <v>0</v>
      </c>
      <c r="E104" s="4">
        <v>0</v>
      </c>
      <c r="F104" s="4">
        <v>8.3333333333333301E-2</v>
      </c>
      <c r="G104" s="4">
        <v>0</v>
      </c>
      <c r="H104" s="2" t="s">
        <v>981</v>
      </c>
      <c r="I104" s="2" t="s">
        <v>376</v>
      </c>
      <c r="J104" s="2" t="s">
        <v>940</v>
      </c>
    </row>
    <row r="105" spans="1:10" x14ac:dyDescent="0.3">
      <c r="A105" s="1" t="s">
        <v>423</v>
      </c>
      <c r="B105" s="3">
        <v>62</v>
      </c>
      <c r="C105" s="4">
        <v>2.7777777777777801E-2</v>
      </c>
      <c r="D105" s="4">
        <v>0</v>
      </c>
      <c r="E105" s="4">
        <v>0</v>
      </c>
      <c r="F105" s="4">
        <v>8.3333333333333301E-2</v>
      </c>
      <c r="G105" s="4">
        <v>0</v>
      </c>
      <c r="H105" s="2" t="s">
        <v>981</v>
      </c>
      <c r="I105" s="2" t="s">
        <v>376</v>
      </c>
      <c r="J105" s="2" t="s">
        <v>940</v>
      </c>
    </row>
    <row r="106" spans="1:10" x14ac:dyDescent="0.3">
      <c r="A106" s="1" t="s">
        <v>429</v>
      </c>
      <c r="B106" s="3">
        <v>63</v>
      </c>
      <c r="C106" s="4">
        <v>0.108108108108108</v>
      </c>
      <c r="D106" s="4">
        <v>0</v>
      </c>
      <c r="E106" s="4">
        <v>0</v>
      </c>
      <c r="F106" s="4">
        <v>0.162162162162162</v>
      </c>
      <c r="G106" s="4">
        <v>8.3333333333333301E-2</v>
      </c>
      <c r="H106" s="2" t="s">
        <v>982</v>
      </c>
      <c r="I106" s="2" t="s">
        <v>916</v>
      </c>
      <c r="J106" s="2" t="s">
        <v>911</v>
      </c>
    </row>
    <row r="107" spans="1:10" x14ac:dyDescent="0.3">
      <c r="A107" s="1" t="s">
        <v>433</v>
      </c>
      <c r="B107" s="3">
        <v>64</v>
      </c>
      <c r="C107" s="4">
        <v>0.108108108108108</v>
      </c>
      <c r="D107" s="4">
        <v>0</v>
      </c>
      <c r="E107" s="4">
        <v>0</v>
      </c>
      <c r="F107" s="4">
        <v>0.162162162162162</v>
      </c>
      <c r="G107" s="4">
        <v>8.3333333333333301E-2</v>
      </c>
      <c r="H107" s="2" t="s">
        <v>982</v>
      </c>
      <c r="I107" s="2" t="s">
        <v>916</v>
      </c>
      <c r="J107" s="2" t="s">
        <v>911</v>
      </c>
    </row>
    <row r="108" spans="1:10" x14ac:dyDescent="0.3">
      <c r="A108" s="1" t="s">
        <v>437</v>
      </c>
      <c r="B108" s="3">
        <v>65</v>
      </c>
      <c r="C108" s="4">
        <v>4.8387096774193498E-2</v>
      </c>
      <c r="D108" s="4">
        <v>0</v>
      </c>
      <c r="E108" s="4">
        <v>0</v>
      </c>
      <c r="F108" s="4">
        <v>9.6774193548387094E-2</v>
      </c>
      <c r="G108" s="4">
        <v>0</v>
      </c>
      <c r="H108" s="2" t="s">
        <v>914</v>
      </c>
      <c r="I108" s="2" t="s">
        <v>12</v>
      </c>
      <c r="J108" s="2" t="s">
        <v>958</v>
      </c>
    </row>
    <row r="109" spans="1:10" x14ac:dyDescent="0.3">
      <c r="A109" s="1" t="s">
        <v>440</v>
      </c>
      <c r="B109" s="3">
        <v>66</v>
      </c>
      <c r="C109" s="4">
        <v>4.8387096774193498E-2</v>
      </c>
      <c r="D109" s="4">
        <v>0</v>
      </c>
      <c r="E109" s="4">
        <v>0</v>
      </c>
      <c r="F109" s="4">
        <v>9.6774193548387094E-2</v>
      </c>
      <c r="G109" s="4">
        <v>0</v>
      </c>
      <c r="H109" s="2" t="s">
        <v>914</v>
      </c>
      <c r="I109" s="2" t="s">
        <v>12</v>
      </c>
      <c r="J109" s="2" t="s">
        <v>958</v>
      </c>
    </row>
    <row r="110" spans="1:10" x14ac:dyDescent="0.3">
      <c r="A110" s="1" t="s">
        <v>444</v>
      </c>
      <c r="B110" s="3">
        <v>67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2" t="s">
        <v>983</v>
      </c>
      <c r="I110" s="2"/>
      <c r="J110" s="2" t="s">
        <v>954</v>
      </c>
    </row>
    <row r="111" spans="1:10" x14ac:dyDescent="0.3">
      <c r="A111" s="1" t="s">
        <v>446</v>
      </c>
      <c r="B111" s="3">
        <v>68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2" t="s">
        <v>983</v>
      </c>
      <c r="I111" s="2"/>
      <c r="J111" s="2" t="s">
        <v>954</v>
      </c>
    </row>
    <row r="112" spans="1:10" x14ac:dyDescent="0.3">
      <c r="A112" s="1" t="s">
        <v>450</v>
      </c>
      <c r="B112" s="3">
        <v>69</v>
      </c>
      <c r="C112" s="4">
        <v>5.2631578947368397E-2</v>
      </c>
      <c r="D112" s="4">
        <v>0</v>
      </c>
      <c r="E112" s="4">
        <v>0</v>
      </c>
      <c r="F112" s="4">
        <v>0.144736842105263</v>
      </c>
      <c r="G112" s="4">
        <v>0.63636363636363602</v>
      </c>
      <c r="H112" s="2" t="s">
        <v>984</v>
      </c>
      <c r="I112" s="2" t="s">
        <v>12</v>
      </c>
      <c r="J112" s="2" t="s">
        <v>945</v>
      </c>
    </row>
    <row r="113" spans="1:10" x14ac:dyDescent="0.3">
      <c r="A113" s="1" t="s">
        <v>454</v>
      </c>
      <c r="B113" s="3">
        <v>70</v>
      </c>
      <c r="C113" s="4">
        <v>5.2631578947368397E-2</v>
      </c>
      <c r="D113" s="4">
        <v>0</v>
      </c>
      <c r="E113" s="4">
        <v>0</v>
      </c>
      <c r="F113" s="4">
        <v>0.144736842105263</v>
      </c>
      <c r="G113" s="4">
        <v>0.63636363636363602</v>
      </c>
      <c r="H113" s="2" t="s">
        <v>984</v>
      </c>
      <c r="I113" s="2" t="s">
        <v>12</v>
      </c>
      <c r="J113" s="2" t="s">
        <v>945</v>
      </c>
    </row>
    <row r="114" spans="1:10" x14ac:dyDescent="0.3">
      <c r="A114" s="1" t="s">
        <v>457</v>
      </c>
      <c r="B114" s="3">
        <v>71</v>
      </c>
      <c r="C114" s="4">
        <v>2.7777777777777801E-2</v>
      </c>
      <c r="D114" s="4">
        <v>0</v>
      </c>
      <c r="E114" s="4">
        <v>1.3698630136986301E-2</v>
      </c>
      <c r="F114" s="4">
        <v>4.1666666666666699E-2</v>
      </c>
      <c r="G114" s="4">
        <v>0</v>
      </c>
      <c r="H114" s="2" t="s">
        <v>985</v>
      </c>
      <c r="I114" s="2" t="s">
        <v>956</v>
      </c>
      <c r="J114" s="2" t="s">
        <v>916</v>
      </c>
    </row>
    <row r="115" spans="1:10" x14ac:dyDescent="0.3">
      <c r="A115" s="1" t="s">
        <v>461</v>
      </c>
      <c r="B115" s="3">
        <v>72</v>
      </c>
      <c r="C115" s="4">
        <v>2.7777777777777801E-2</v>
      </c>
      <c r="D115" s="4">
        <v>0</v>
      </c>
      <c r="E115" s="4">
        <v>1.3698630136986301E-2</v>
      </c>
      <c r="F115" s="4">
        <v>4.1666666666666699E-2</v>
      </c>
      <c r="G115" s="4">
        <v>0</v>
      </c>
      <c r="H115" s="2" t="s">
        <v>985</v>
      </c>
      <c r="I115" s="2" t="s">
        <v>956</v>
      </c>
      <c r="J115" s="2" t="s">
        <v>916</v>
      </c>
    </row>
    <row r="116" spans="1:10" x14ac:dyDescent="0.3">
      <c r="A116" s="1" t="s">
        <v>464</v>
      </c>
      <c r="B116" s="3">
        <v>73</v>
      </c>
      <c r="C116" s="4">
        <v>3.0769230769230799E-2</v>
      </c>
      <c r="D116" s="4">
        <v>0</v>
      </c>
      <c r="E116" s="4">
        <v>2.9850746268656699E-2</v>
      </c>
      <c r="F116" s="4">
        <v>7.69230769230769E-2</v>
      </c>
      <c r="G116" s="4">
        <v>0.2</v>
      </c>
      <c r="H116" s="2" t="s">
        <v>986</v>
      </c>
      <c r="I116" s="2" t="s">
        <v>910</v>
      </c>
      <c r="J116" s="2" t="s">
        <v>921</v>
      </c>
    </row>
    <row r="117" spans="1:10" x14ac:dyDescent="0.3">
      <c r="A117" s="1" t="s">
        <v>466</v>
      </c>
      <c r="B117" s="3">
        <v>74</v>
      </c>
      <c r="C117" s="4">
        <v>3.0769230769230799E-2</v>
      </c>
      <c r="D117" s="4">
        <v>0</v>
      </c>
      <c r="E117" s="4">
        <v>2.9850746268656699E-2</v>
      </c>
      <c r="F117" s="4">
        <v>7.69230769230769E-2</v>
      </c>
      <c r="G117" s="4">
        <v>0.2</v>
      </c>
      <c r="H117" s="2" t="s">
        <v>986</v>
      </c>
      <c r="I117" s="2" t="s">
        <v>910</v>
      </c>
      <c r="J117" s="2" t="s">
        <v>921</v>
      </c>
    </row>
    <row r="118" spans="1:10" x14ac:dyDescent="0.3">
      <c r="A118" s="1" t="s">
        <v>468</v>
      </c>
      <c r="B118" s="3">
        <v>75</v>
      </c>
      <c r="C118" s="4">
        <v>0.13636363636363599</v>
      </c>
      <c r="D118" s="4">
        <v>0</v>
      </c>
      <c r="E118" s="4">
        <v>0</v>
      </c>
      <c r="F118" s="4">
        <v>0.204545454545455</v>
      </c>
      <c r="G118" s="4">
        <v>0</v>
      </c>
      <c r="H118" s="2" t="s">
        <v>987</v>
      </c>
      <c r="I118" s="2" t="s">
        <v>988</v>
      </c>
      <c r="J118" s="2" t="s">
        <v>913</v>
      </c>
    </row>
    <row r="119" spans="1:10" x14ac:dyDescent="0.3">
      <c r="A119" s="1" t="s">
        <v>472</v>
      </c>
      <c r="B119" s="3">
        <v>76</v>
      </c>
      <c r="C119" s="4">
        <v>0.13636363636363599</v>
      </c>
      <c r="D119" s="4">
        <v>0</v>
      </c>
      <c r="E119" s="4">
        <v>0</v>
      </c>
      <c r="F119" s="4">
        <v>0.204545454545455</v>
      </c>
      <c r="G119" s="4">
        <v>0</v>
      </c>
      <c r="H119" s="2" t="s">
        <v>987</v>
      </c>
      <c r="I119" s="2" t="s">
        <v>988</v>
      </c>
      <c r="J119" s="2" t="s">
        <v>913</v>
      </c>
    </row>
    <row r="120" spans="1:10" x14ac:dyDescent="0.3">
      <c r="A120" s="1" t="s">
        <v>476</v>
      </c>
      <c r="B120" s="3">
        <v>77</v>
      </c>
      <c r="C120" s="4">
        <v>1.63934426229508E-2</v>
      </c>
      <c r="D120" s="4">
        <v>0</v>
      </c>
      <c r="E120" s="4">
        <v>0</v>
      </c>
      <c r="F120" s="4">
        <v>8.1967213114754106E-2</v>
      </c>
      <c r="G120" s="4">
        <v>0</v>
      </c>
      <c r="H120" s="2" t="s">
        <v>980</v>
      </c>
      <c r="I120" s="2" t="s">
        <v>920</v>
      </c>
      <c r="J120" s="2" t="s">
        <v>940</v>
      </c>
    </row>
    <row r="121" spans="1:10" x14ac:dyDescent="0.3">
      <c r="A121" s="1" t="s">
        <v>481</v>
      </c>
      <c r="B121" s="3">
        <v>78</v>
      </c>
      <c r="C121" s="4">
        <v>1.63934426229508E-2</v>
      </c>
      <c r="D121" s="4">
        <v>0</v>
      </c>
      <c r="E121" s="4">
        <v>0</v>
      </c>
      <c r="F121" s="4">
        <v>8.1967213114754106E-2</v>
      </c>
      <c r="G121" s="4">
        <v>0</v>
      </c>
      <c r="H121" s="2" t="s">
        <v>980</v>
      </c>
      <c r="I121" s="2" t="s">
        <v>920</v>
      </c>
      <c r="J121" s="2" t="s">
        <v>940</v>
      </c>
    </row>
    <row r="122" spans="1:10" x14ac:dyDescent="0.3">
      <c r="A122" s="1" t="s">
        <v>484</v>
      </c>
      <c r="B122" s="3">
        <v>79</v>
      </c>
      <c r="C122" s="4">
        <v>0.13043478260869601</v>
      </c>
      <c r="D122" s="4">
        <v>0</v>
      </c>
      <c r="E122" s="4">
        <v>0</v>
      </c>
      <c r="F122" s="4">
        <v>0.19565217391304299</v>
      </c>
      <c r="G122" s="4">
        <v>0</v>
      </c>
      <c r="H122" s="2" t="s">
        <v>989</v>
      </c>
      <c r="I122" s="2" t="s">
        <v>12</v>
      </c>
      <c r="J122" s="2" t="s">
        <v>916</v>
      </c>
    </row>
    <row r="123" spans="1:10" x14ac:dyDescent="0.3">
      <c r="A123" s="1" t="s">
        <v>488</v>
      </c>
      <c r="B123" s="3">
        <v>80</v>
      </c>
      <c r="C123" s="4">
        <v>0.13043478260869601</v>
      </c>
      <c r="D123" s="4">
        <v>0</v>
      </c>
      <c r="E123" s="4">
        <v>0</v>
      </c>
      <c r="F123" s="4">
        <v>0.19565217391304299</v>
      </c>
      <c r="G123" s="4">
        <v>0</v>
      </c>
      <c r="H123" s="2" t="s">
        <v>989</v>
      </c>
      <c r="I123" s="2" t="s">
        <v>12</v>
      </c>
      <c r="J123" s="2" t="s">
        <v>916</v>
      </c>
    </row>
    <row r="124" spans="1:10" x14ac:dyDescent="0.3">
      <c r="A124" s="1" t="s">
        <v>494</v>
      </c>
      <c r="B124" s="3">
        <v>81</v>
      </c>
      <c r="C124" s="4">
        <v>6.5573770491803296E-2</v>
      </c>
      <c r="D124" s="4">
        <v>0</v>
      </c>
      <c r="E124" s="4">
        <v>0</v>
      </c>
      <c r="F124" s="4">
        <v>9.8360655737704902E-2</v>
      </c>
      <c r="G124" s="4">
        <v>0</v>
      </c>
      <c r="H124" s="2" t="s">
        <v>990</v>
      </c>
      <c r="I124" s="2" t="s">
        <v>911</v>
      </c>
      <c r="J124" s="2" t="s">
        <v>956</v>
      </c>
    </row>
    <row r="125" spans="1:10" x14ac:dyDescent="0.3">
      <c r="A125" s="1" t="s">
        <v>495</v>
      </c>
      <c r="B125" s="3">
        <v>82</v>
      </c>
      <c r="C125" s="4">
        <v>6.5573770491803296E-2</v>
      </c>
      <c r="D125" s="4">
        <v>0</v>
      </c>
      <c r="E125" s="4">
        <v>0</v>
      </c>
      <c r="F125" s="4">
        <v>9.8360655737704902E-2</v>
      </c>
      <c r="G125" s="4">
        <v>0</v>
      </c>
      <c r="H125" s="2" t="s">
        <v>990</v>
      </c>
      <c r="I125" s="2" t="s">
        <v>911</v>
      </c>
      <c r="J125" s="2" t="s">
        <v>956</v>
      </c>
    </row>
    <row r="126" spans="1:10" x14ac:dyDescent="0.3">
      <c r="A126" s="1" t="s">
        <v>498</v>
      </c>
      <c r="B126" s="3">
        <v>83</v>
      </c>
      <c r="C126" s="4">
        <v>0.11111111111111099</v>
      </c>
      <c r="D126" s="4">
        <v>0</v>
      </c>
      <c r="E126" s="4">
        <v>0</v>
      </c>
      <c r="F126" s="4">
        <v>0.126984126984127</v>
      </c>
      <c r="G126" s="4">
        <v>0</v>
      </c>
      <c r="H126" s="2" t="s">
        <v>984</v>
      </c>
      <c r="I126" s="2" t="s">
        <v>916</v>
      </c>
      <c r="J126" s="2" t="s">
        <v>991</v>
      </c>
    </row>
    <row r="127" spans="1:10" x14ac:dyDescent="0.3">
      <c r="A127" s="1" t="s">
        <v>502</v>
      </c>
      <c r="B127" s="3">
        <v>84</v>
      </c>
      <c r="C127" s="4">
        <v>0.11111111111111099</v>
      </c>
      <c r="D127" s="4">
        <v>0</v>
      </c>
      <c r="E127" s="4">
        <v>0</v>
      </c>
      <c r="F127" s="4">
        <v>0.126984126984127</v>
      </c>
      <c r="G127" s="4">
        <v>0</v>
      </c>
      <c r="H127" s="2" t="s">
        <v>984</v>
      </c>
      <c r="I127" s="2" t="s">
        <v>916</v>
      </c>
      <c r="J127" s="2" t="s">
        <v>991</v>
      </c>
    </row>
    <row r="128" spans="1:10" x14ac:dyDescent="0.3">
      <c r="A128" s="1" t="s">
        <v>507</v>
      </c>
      <c r="B128" s="3">
        <v>85</v>
      </c>
      <c r="C128" s="4">
        <v>5.4545454545454501E-2</v>
      </c>
      <c r="D128" s="4">
        <v>0</v>
      </c>
      <c r="E128" s="4">
        <v>0</v>
      </c>
      <c r="F128" s="4">
        <v>0.145454545454545</v>
      </c>
      <c r="G128" s="4">
        <v>0.125</v>
      </c>
      <c r="H128" s="2" t="s">
        <v>992</v>
      </c>
      <c r="I128" s="2" t="s">
        <v>923</v>
      </c>
      <c r="J128" s="2" t="s">
        <v>940</v>
      </c>
    </row>
    <row r="129" spans="1:10" x14ac:dyDescent="0.3">
      <c r="A129" s="1" t="s">
        <v>511</v>
      </c>
      <c r="B129" s="3">
        <v>86</v>
      </c>
      <c r="C129" s="4">
        <v>5.4545454545454501E-2</v>
      </c>
      <c r="D129" s="4">
        <v>0</v>
      </c>
      <c r="E129" s="4">
        <v>0</v>
      </c>
      <c r="F129" s="4">
        <v>0.145454545454545</v>
      </c>
      <c r="G129" s="4">
        <v>0.125</v>
      </c>
      <c r="H129" s="2" t="s">
        <v>992</v>
      </c>
      <c r="I129" s="2" t="s">
        <v>923</v>
      </c>
      <c r="J129" s="2" t="s">
        <v>940</v>
      </c>
    </row>
    <row r="130" spans="1:10" x14ac:dyDescent="0.3">
      <c r="A130" s="1" t="s">
        <v>515</v>
      </c>
      <c r="B130" s="3">
        <v>87</v>
      </c>
      <c r="C130" s="4">
        <v>0.102040816326531</v>
      </c>
      <c r="D130" s="4">
        <v>0</v>
      </c>
      <c r="E130" s="4">
        <v>0.02</v>
      </c>
      <c r="F130" s="4">
        <v>0.102040816326531</v>
      </c>
      <c r="G130" s="4">
        <v>0</v>
      </c>
      <c r="H130" s="2" t="s">
        <v>970</v>
      </c>
      <c r="I130" s="2" t="s">
        <v>12</v>
      </c>
      <c r="J130" s="2" t="s">
        <v>926</v>
      </c>
    </row>
    <row r="131" spans="1:10" x14ac:dyDescent="0.3">
      <c r="A131" s="1" t="s">
        <v>520</v>
      </c>
      <c r="B131" s="3">
        <v>88</v>
      </c>
      <c r="C131" s="4">
        <v>0.102040816326531</v>
      </c>
      <c r="D131" s="4">
        <v>0</v>
      </c>
      <c r="E131" s="4">
        <v>0.02</v>
      </c>
      <c r="F131" s="4">
        <v>0.102040816326531</v>
      </c>
      <c r="G131" s="4">
        <v>0</v>
      </c>
      <c r="H131" s="2" t="s">
        <v>970</v>
      </c>
      <c r="I131" s="2" t="s">
        <v>12</v>
      </c>
      <c r="J131" s="2" t="s">
        <v>926</v>
      </c>
    </row>
    <row r="132" spans="1:10" x14ac:dyDescent="0.3">
      <c r="A132" s="1" t="s">
        <v>523</v>
      </c>
      <c r="B132" s="3">
        <v>89</v>
      </c>
      <c r="C132" s="4">
        <v>0.1</v>
      </c>
      <c r="D132" s="4">
        <v>0</v>
      </c>
      <c r="E132" s="4">
        <v>0</v>
      </c>
      <c r="F132" s="4">
        <v>0.1</v>
      </c>
      <c r="G132" s="4">
        <v>0</v>
      </c>
      <c r="H132" s="2" t="s">
        <v>993</v>
      </c>
      <c r="I132" s="2" t="s">
        <v>12</v>
      </c>
      <c r="J132" s="2" t="s">
        <v>973</v>
      </c>
    </row>
    <row r="133" spans="1:10" x14ac:dyDescent="0.3">
      <c r="A133" s="1" t="s">
        <v>526</v>
      </c>
      <c r="B133" s="3">
        <v>90</v>
      </c>
      <c r="C133" s="4">
        <v>0.1</v>
      </c>
      <c r="D133" s="4">
        <v>0</v>
      </c>
      <c r="E133" s="4">
        <v>0</v>
      </c>
      <c r="F133" s="4">
        <v>0.1</v>
      </c>
      <c r="G133" s="4">
        <v>0</v>
      </c>
      <c r="H133" s="2" t="s">
        <v>993</v>
      </c>
      <c r="I133" s="2" t="s">
        <v>12</v>
      </c>
      <c r="J133" s="2" t="s">
        <v>973</v>
      </c>
    </row>
    <row r="134" spans="1:10" x14ac:dyDescent="0.3">
      <c r="A134" s="1" t="s">
        <v>530</v>
      </c>
      <c r="B134" s="3">
        <v>91</v>
      </c>
      <c r="C134" s="4">
        <v>3.3898305084745797E-2</v>
      </c>
      <c r="D134" s="4">
        <v>0</v>
      </c>
      <c r="E134" s="4">
        <v>0</v>
      </c>
      <c r="F134" s="4">
        <v>0.152542372881356</v>
      </c>
      <c r="G134" s="4">
        <v>0.11111111111111099</v>
      </c>
      <c r="H134" s="2" t="s">
        <v>946</v>
      </c>
      <c r="I134" s="2" t="s">
        <v>994</v>
      </c>
      <c r="J134" s="2" t="s">
        <v>926</v>
      </c>
    </row>
    <row r="135" spans="1:10" x14ac:dyDescent="0.3">
      <c r="A135" s="1" t="s">
        <v>534</v>
      </c>
      <c r="B135" s="3">
        <v>92</v>
      </c>
      <c r="C135" s="4">
        <v>3.3898305084745797E-2</v>
      </c>
      <c r="D135" s="4">
        <v>0</v>
      </c>
      <c r="E135" s="4">
        <v>0</v>
      </c>
      <c r="F135" s="4">
        <v>0.152542372881356</v>
      </c>
      <c r="G135" s="4">
        <v>0.11111111111111099</v>
      </c>
      <c r="H135" s="2" t="s">
        <v>946</v>
      </c>
      <c r="I135" s="2" t="s">
        <v>994</v>
      </c>
      <c r="J135" s="2" t="s">
        <v>926</v>
      </c>
    </row>
    <row r="136" spans="1:10" x14ac:dyDescent="0.3">
      <c r="A136" s="1" t="s">
        <v>540</v>
      </c>
      <c r="B136" s="3">
        <v>93</v>
      </c>
      <c r="C136" s="4">
        <v>6.3829787234042604E-2</v>
      </c>
      <c r="D136" s="4">
        <v>0</v>
      </c>
      <c r="E136" s="4">
        <v>0</v>
      </c>
      <c r="F136" s="4">
        <v>0.19148936170212799</v>
      </c>
      <c r="G136" s="4">
        <v>0</v>
      </c>
      <c r="H136" s="2" t="s">
        <v>995</v>
      </c>
      <c r="I136" s="2" t="s">
        <v>996</v>
      </c>
      <c r="J136" s="2" t="s">
        <v>927</v>
      </c>
    </row>
    <row r="137" spans="1:10" x14ac:dyDescent="0.3">
      <c r="A137" s="1" t="s">
        <v>544</v>
      </c>
      <c r="B137" s="3">
        <v>94</v>
      </c>
      <c r="C137" s="4">
        <v>6.3829787234042604E-2</v>
      </c>
      <c r="D137" s="4">
        <v>0</v>
      </c>
      <c r="E137" s="4">
        <v>0</v>
      </c>
      <c r="F137" s="4">
        <v>0.19148936170212799</v>
      </c>
      <c r="G137" s="4">
        <v>0</v>
      </c>
      <c r="H137" s="2" t="s">
        <v>995</v>
      </c>
      <c r="I137" s="2" t="s">
        <v>996</v>
      </c>
      <c r="J137" s="2" t="s">
        <v>927</v>
      </c>
    </row>
    <row r="138" spans="1:10" x14ac:dyDescent="0.3">
      <c r="A138" s="1" t="s">
        <v>549</v>
      </c>
      <c r="B138" s="3">
        <v>95</v>
      </c>
      <c r="C138" s="4">
        <v>0.118421052631579</v>
      </c>
      <c r="D138" s="4">
        <v>0</v>
      </c>
      <c r="E138" s="4">
        <v>0</v>
      </c>
      <c r="F138" s="4">
        <v>0.23684210526315799</v>
      </c>
      <c r="G138" s="4">
        <v>5.5555555555555601E-2</v>
      </c>
      <c r="H138" s="2" t="s">
        <v>983</v>
      </c>
      <c r="I138" s="2" t="s">
        <v>934</v>
      </c>
      <c r="J138" s="2" t="s">
        <v>940</v>
      </c>
    </row>
    <row r="139" spans="1:10" x14ac:dyDescent="0.3">
      <c r="A139" s="1" t="s">
        <v>553</v>
      </c>
      <c r="B139" s="3">
        <v>96</v>
      </c>
      <c r="C139" s="4">
        <v>0.118421052631579</v>
      </c>
      <c r="D139" s="4">
        <v>0</v>
      </c>
      <c r="E139" s="4">
        <v>0</v>
      </c>
      <c r="F139" s="4">
        <v>0.23684210526315799</v>
      </c>
      <c r="G139" s="4">
        <v>5.5555555555555601E-2</v>
      </c>
      <c r="H139" s="2" t="s">
        <v>983</v>
      </c>
      <c r="I139" s="2" t="s">
        <v>934</v>
      </c>
      <c r="J139" s="2" t="s">
        <v>940</v>
      </c>
    </row>
    <row r="140" spans="1:10" x14ac:dyDescent="0.3">
      <c r="A140" s="1" t="s">
        <v>557</v>
      </c>
      <c r="B140" s="3">
        <v>97</v>
      </c>
      <c r="C140" s="4">
        <v>7.1428571428571397E-2</v>
      </c>
      <c r="D140" s="4">
        <v>0</v>
      </c>
      <c r="E140" s="4">
        <v>0</v>
      </c>
      <c r="F140" s="4">
        <v>0.128571428571428</v>
      </c>
      <c r="G140" s="4">
        <v>0.22222222222222199</v>
      </c>
      <c r="H140" s="2" t="s">
        <v>931</v>
      </c>
      <c r="I140" s="2" t="s">
        <v>997</v>
      </c>
      <c r="J140" s="2" t="s">
        <v>940</v>
      </c>
    </row>
    <row r="141" spans="1:10" x14ac:dyDescent="0.3">
      <c r="A141" s="1" t="s">
        <v>560</v>
      </c>
      <c r="B141" s="3">
        <v>98</v>
      </c>
      <c r="C141" s="4">
        <v>7.1428571428571397E-2</v>
      </c>
      <c r="D141" s="4">
        <v>0</v>
      </c>
      <c r="E141" s="4">
        <v>0</v>
      </c>
      <c r="F141" s="4">
        <v>0.128571428571428</v>
      </c>
      <c r="G141" s="4">
        <v>0.22222222222222199</v>
      </c>
      <c r="H141" s="2" t="s">
        <v>931</v>
      </c>
      <c r="I141" s="2" t="s">
        <v>997</v>
      </c>
      <c r="J141" s="2" t="s">
        <v>940</v>
      </c>
    </row>
    <row r="142" spans="1:10" x14ac:dyDescent="0.3">
      <c r="A142" s="1" t="s">
        <v>562</v>
      </c>
      <c r="B142" s="3">
        <v>99</v>
      </c>
      <c r="C142" s="4">
        <v>0</v>
      </c>
      <c r="D142" s="4">
        <v>0</v>
      </c>
      <c r="E142" s="4">
        <v>0</v>
      </c>
      <c r="F142" s="4">
        <v>0.04</v>
      </c>
      <c r="G142" s="4">
        <v>0</v>
      </c>
      <c r="H142" s="2" t="s">
        <v>963</v>
      </c>
      <c r="I142" s="2" t="s">
        <v>998</v>
      </c>
      <c r="J142" s="2" t="s">
        <v>940</v>
      </c>
    </row>
    <row r="143" spans="1:10" x14ac:dyDescent="0.3">
      <c r="A143" s="1" t="s">
        <v>568</v>
      </c>
      <c r="B143" s="3">
        <v>100</v>
      </c>
      <c r="C143" s="4">
        <v>0</v>
      </c>
      <c r="D143" s="4">
        <v>0</v>
      </c>
      <c r="E143" s="4">
        <v>0</v>
      </c>
      <c r="F143" s="4">
        <v>0.04</v>
      </c>
      <c r="G143" s="4">
        <v>0</v>
      </c>
      <c r="H143" s="2" t="s">
        <v>963</v>
      </c>
      <c r="I143" s="2" t="s">
        <v>998</v>
      </c>
      <c r="J143" s="2" t="s">
        <v>940</v>
      </c>
    </row>
    <row r="144" spans="1:10" x14ac:dyDescent="0.3">
      <c r="A144" s="1" t="s">
        <v>570</v>
      </c>
      <c r="B144" s="3">
        <v>101</v>
      </c>
      <c r="C144" s="4">
        <v>3.1746031746031703E-2</v>
      </c>
      <c r="D144" s="4">
        <v>0</v>
      </c>
      <c r="E144" s="4">
        <v>0</v>
      </c>
      <c r="F144" s="4">
        <v>0.126984126984127</v>
      </c>
      <c r="G144" s="4">
        <v>0</v>
      </c>
      <c r="H144" s="2" t="s">
        <v>999</v>
      </c>
      <c r="I144" s="2" t="s">
        <v>1000</v>
      </c>
      <c r="J144" s="2" t="s">
        <v>935</v>
      </c>
    </row>
    <row r="145" spans="1:10" x14ac:dyDescent="0.3">
      <c r="A145" s="1" t="s">
        <v>575</v>
      </c>
      <c r="B145" s="3">
        <v>102</v>
      </c>
      <c r="C145" s="4">
        <v>3.1746031746031703E-2</v>
      </c>
      <c r="D145" s="4">
        <v>0</v>
      </c>
      <c r="E145" s="4">
        <v>0</v>
      </c>
      <c r="F145" s="4">
        <v>0.126984126984127</v>
      </c>
      <c r="G145" s="4">
        <v>0</v>
      </c>
      <c r="H145" s="2" t="s">
        <v>999</v>
      </c>
      <c r="I145" s="2" t="s">
        <v>1000</v>
      </c>
      <c r="J145" s="2" t="s">
        <v>935</v>
      </c>
    </row>
    <row r="146" spans="1:10" x14ac:dyDescent="0.3">
      <c r="A146" s="1" t="s">
        <v>577</v>
      </c>
      <c r="B146" s="3">
        <v>103</v>
      </c>
      <c r="C146" s="4">
        <v>0</v>
      </c>
      <c r="D146" s="4">
        <v>0</v>
      </c>
      <c r="E146" s="4">
        <v>0</v>
      </c>
      <c r="F146" s="4">
        <v>4.8387096774193498E-2</v>
      </c>
      <c r="G146" s="4">
        <v>0</v>
      </c>
      <c r="H146" s="2" t="s">
        <v>981</v>
      </c>
      <c r="I146" s="2" t="s">
        <v>12</v>
      </c>
      <c r="J146" s="2" t="s">
        <v>940</v>
      </c>
    </row>
    <row r="147" spans="1:10" x14ac:dyDescent="0.3">
      <c r="A147" s="1" t="s">
        <v>580</v>
      </c>
      <c r="B147" s="3">
        <v>104</v>
      </c>
      <c r="C147" s="4">
        <v>0</v>
      </c>
      <c r="D147" s="4">
        <v>0</v>
      </c>
      <c r="E147" s="4">
        <v>0</v>
      </c>
      <c r="F147" s="4">
        <v>4.8387096774193498E-2</v>
      </c>
      <c r="G147" s="4">
        <v>0</v>
      </c>
      <c r="H147" s="2" t="s">
        <v>981</v>
      </c>
      <c r="I147" s="2" t="s">
        <v>12</v>
      </c>
      <c r="J147" s="2" t="s">
        <v>940</v>
      </c>
    </row>
    <row r="148" spans="1:10" x14ac:dyDescent="0.3">
      <c r="A148" s="1" t="s">
        <v>586</v>
      </c>
      <c r="B148" s="3">
        <v>105</v>
      </c>
      <c r="C148" s="4">
        <v>3.2786885245901599E-2</v>
      </c>
      <c r="D148" s="4">
        <v>0</v>
      </c>
      <c r="E148" s="4">
        <v>0</v>
      </c>
      <c r="F148" s="4">
        <v>6.5573770491803296E-2</v>
      </c>
      <c r="G148" s="4">
        <v>0.25</v>
      </c>
      <c r="H148" s="2" t="s">
        <v>977</v>
      </c>
      <c r="I148" s="2" t="s">
        <v>12</v>
      </c>
      <c r="J148" s="2" t="s">
        <v>911</v>
      </c>
    </row>
    <row r="149" spans="1:10" x14ac:dyDescent="0.3">
      <c r="A149" s="1" t="s">
        <v>590</v>
      </c>
      <c r="B149" s="3">
        <v>106</v>
      </c>
      <c r="C149" s="4">
        <v>3.2786885245901599E-2</v>
      </c>
      <c r="D149" s="4">
        <v>0</v>
      </c>
      <c r="E149" s="4">
        <v>0</v>
      </c>
      <c r="F149" s="4">
        <v>6.5573770491803296E-2</v>
      </c>
      <c r="G149" s="4">
        <v>0.25</v>
      </c>
      <c r="H149" s="2" t="s">
        <v>977</v>
      </c>
      <c r="I149" s="2" t="s">
        <v>12</v>
      </c>
      <c r="J149" s="2" t="s">
        <v>911</v>
      </c>
    </row>
    <row r="150" spans="1:10" x14ac:dyDescent="0.3">
      <c r="A150" s="1" t="s">
        <v>592</v>
      </c>
      <c r="B150" s="3">
        <v>107</v>
      </c>
      <c r="C150" s="4">
        <v>3.2786885245901599E-2</v>
      </c>
      <c r="D150" s="4">
        <v>0</v>
      </c>
      <c r="E150" s="4">
        <v>0</v>
      </c>
      <c r="F150" s="4">
        <v>9.8360655737704902E-2</v>
      </c>
      <c r="G150" s="4">
        <v>0</v>
      </c>
      <c r="H150" s="2" t="s">
        <v>931</v>
      </c>
      <c r="I150" s="2" t="s">
        <v>921</v>
      </c>
      <c r="J150" s="2" t="s">
        <v>913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06F76-F89F-4480-ACBB-3BEC533DAEE3}">
  <dimension ref="A1:G150"/>
  <sheetViews>
    <sheetView workbookViewId="0">
      <selection activeCell="G5" sqref="G5"/>
    </sheetView>
  </sheetViews>
  <sheetFormatPr defaultRowHeight="14.4" x14ac:dyDescent="0.3"/>
  <cols>
    <col min="1" max="1" width="32.33203125" bestFit="1" customWidth="1"/>
    <col min="2" max="2" width="19.77734375" bestFit="1" customWidth="1"/>
    <col min="3" max="3" width="27" bestFit="1" customWidth="1"/>
    <col min="4" max="4" width="11.77734375" style="5" bestFit="1" customWidth="1"/>
    <col min="5" max="5" width="13.6640625" style="5" bestFit="1" customWidth="1"/>
    <col min="6" max="6" width="11.33203125" bestFit="1" customWidth="1"/>
    <col min="7" max="7" width="13.44140625" bestFit="1" customWidth="1"/>
  </cols>
  <sheetData>
    <row r="1" spans="1:7" ht="15.6" customHeight="1" x14ac:dyDescent="0.3">
      <c r="A1" s="7" t="str">
        <f>[1]Break!A1</f>
        <v>Employee</v>
      </c>
      <c r="B1" s="7" t="s">
        <v>1001</v>
      </c>
      <c r="C1" s="7" t="s">
        <v>1002</v>
      </c>
      <c r="D1" s="7" t="s">
        <v>597</v>
      </c>
      <c r="E1" s="7" t="s">
        <v>8</v>
      </c>
      <c r="F1" s="7" t="s">
        <v>598</v>
      </c>
      <c r="G1" s="7" t="s">
        <v>600</v>
      </c>
    </row>
    <row r="2" spans="1:7" x14ac:dyDescent="0.3">
      <c r="A2" t="str">
        <f>Break!A2</f>
        <v>Mum_Abdul Hamid (1008512)</v>
      </c>
      <c r="B2" t="str">
        <f>MID(A2,FIND("_",A2,1)+1,FIND("(",A2,1)-FIND("_",A2,1)-1)</f>
        <v xml:space="preserve">Abdul Hamid </v>
      </c>
      <c r="C2" s="5" t="str">
        <f t="shared" ref="C2:C33" si="0">VLOOKUP($A2,Efficiency,2,0)</f>
        <v>08:15:43</v>
      </c>
      <c r="D2" s="5" t="str">
        <f t="shared" ref="D2:D33" si="1">VLOOKUP(A2,Efficiency,3,0)</f>
        <v>04:57:59</v>
      </c>
      <c r="E2" s="5" t="str">
        <f t="shared" ref="E2:E33" si="2">VLOOKUP(A2,Break,9,0)</f>
        <v>01:08:42</v>
      </c>
      <c r="F2">
        <f t="shared" ref="F2:F33" si="3">VLOOKUP(A2,OverAll,2,0)</f>
        <v>98</v>
      </c>
      <c r="G2" s="6">
        <f t="shared" ref="G2:G33" si="4">VLOOKUP(A2,Efficiency,6,0)</f>
        <v>0.55697138822580095</v>
      </c>
    </row>
    <row r="3" spans="1:7" x14ac:dyDescent="0.3">
      <c r="A3" t="str">
        <f>Break!A3</f>
        <v>Mum_Afzal Husain (1008513)</v>
      </c>
      <c r="B3" t="str">
        <f t="shared" ref="B3:B66" si="5">MID(A3,FIND("_",A3,1)+1,FIND("(",A3,1)-FIND("_",A3,1)-1)</f>
        <v xml:space="preserve">Afzal Husain </v>
      </c>
      <c r="C3" s="5" t="str">
        <f t="shared" si="0"/>
        <v>08:15:36</v>
      </c>
      <c r="D3" s="5" t="str">
        <f t="shared" si="1"/>
        <v>04:58:34</v>
      </c>
      <c r="E3" s="5" t="str">
        <f t="shared" si="2"/>
        <v>01:09:59</v>
      </c>
      <c r="F3">
        <f t="shared" si="3"/>
        <v>23</v>
      </c>
      <c r="G3" s="6">
        <f t="shared" si="4"/>
        <v>0.58027306967984904</v>
      </c>
    </row>
    <row r="4" spans="1:7" x14ac:dyDescent="0.3">
      <c r="A4" t="str">
        <f>Break!A4</f>
        <v>Mum_Anamika Gupta (1008514)</v>
      </c>
      <c r="B4" t="str">
        <f t="shared" si="5"/>
        <v xml:space="preserve">Anamika Gupta </v>
      </c>
      <c r="C4" s="5" t="str">
        <f t="shared" si="0"/>
        <v>08:16:57</v>
      </c>
      <c r="D4" s="5" t="str">
        <f t="shared" si="1"/>
        <v>04:49:35</v>
      </c>
      <c r="E4" s="5" t="str">
        <f t="shared" si="2"/>
        <v>01:13:54</v>
      </c>
      <c r="F4">
        <f t="shared" si="3"/>
        <v>28</v>
      </c>
      <c r="G4" s="6">
        <f t="shared" si="4"/>
        <v>0.51708756749505302</v>
      </c>
    </row>
    <row r="5" spans="1:7" x14ac:dyDescent="0.3">
      <c r="A5" t="str">
        <f>Break!A5</f>
        <v>Mum_Anikuttan (1008515)</v>
      </c>
      <c r="B5" t="str">
        <f t="shared" si="5"/>
        <v xml:space="preserve">Anikuttan </v>
      </c>
      <c r="C5" s="5" t="str">
        <f t="shared" si="0"/>
        <v>08:09:56</v>
      </c>
      <c r="D5" s="5" t="str">
        <f t="shared" si="1"/>
        <v>04:17:32</v>
      </c>
      <c r="E5" s="5" t="str">
        <f t="shared" si="2"/>
        <v>02:19:02</v>
      </c>
      <c r="F5">
        <f t="shared" si="3"/>
        <v>29</v>
      </c>
      <c r="G5" s="6">
        <f t="shared" si="4"/>
        <v>0.47720778337188702</v>
      </c>
    </row>
    <row r="6" spans="1:7" x14ac:dyDescent="0.3">
      <c r="A6" t="str">
        <f>Break!A6</f>
        <v>Mum_Anil Kumar (1008516)</v>
      </c>
      <c r="B6" t="str">
        <f t="shared" si="5"/>
        <v xml:space="preserve">Anil Kumar </v>
      </c>
      <c r="C6" s="5" t="str">
        <f t="shared" si="0"/>
        <v>07:20:41</v>
      </c>
      <c r="D6" s="5" t="str">
        <f t="shared" si="1"/>
        <v>03:19:44</v>
      </c>
      <c r="E6" s="5" t="str">
        <f t="shared" si="2"/>
        <v>03:04:58</v>
      </c>
      <c r="F6">
        <f t="shared" si="3"/>
        <v>93</v>
      </c>
      <c r="G6" s="6">
        <f t="shared" si="4"/>
        <v>0.43288831738587802</v>
      </c>
    </row>
    <row r="7" spans="1:7" x14ac:dyDescent="0.3">
      <c r="A7" t="str">
        <f>Break!A7</f>
        <v>Mum_Anita Dixit (1008517)</v>
      </c>
      <c r="B7" t="str">
        <f t="shared" si="5"/>
        <v xml:space="preserve">Anita Dixit </v>
      </c>
      <c r="C7" s="5" t="str">
        <f t="shared" si="0"/>
        <v>05:00:09</v>
      </c>
      <c r="D7" s="5" t="str">
        <f t="shared" si="1"/>
        <v>03:41:19</v>
      </c>
      <c r="E7" s="5" t="str">
        <f t="shared" si="2"/>
        <v>00:27:07</v>
      </c>
      <c r="F7">
        <f t="shared" si="3"/>
        <v>92</v>
      </c>
      <c r="G7" s="6">
        <f t="shared" si="4"/>
        <v>0.65495030262646503</v>
      </c>
    </row>
    <row r="8" spans="1:7" x14ac:dyDescent="0.3">
      <c r="A8" t="str">
        <f>Break!A8</f>
        <v>Mum_Anita Ghore (1008518)</v>
      </c>
      <c r="B8" t="str">
        <f t="shared" si="5"/>
        <v xml:space="preserve">Anita Ghore </v>
      </c>
      <c r="C8" s="5" t="str">
        <f t="shared" si="0"/>
        <v>08:16:38</v>
      </c>
      <c r="D8" s="5" t="str">
        <f t="shared" si="1"/>
        <v>04:12:46</v>
      </c>
      <c r="E8" s="5" t="str">
        <f t="shared" si="2"/>
        <v>02:41:42</v>
      </c>
      <c r="F8">
        <f t="shared" si="3"/>
        <v>26</v>
      </c>
      <c r="G8" s="6">
        <f t="shared" si="4"/>
        <v>0.49476474931203401</v>
      </c>
    </row>
    <row r="9" spans="1:7" x14ac:dyDescent="0.3">
      <c r="A9" t="str">
        <f>Break!A9</f>
        <v>Mum_Anjali Deoram (1008519)</v>
      </c>
      <c r="B9" t="str">
        <f t="shared" si="5"/>
        <v xml:space="preserve">Anjali Deoram </v>
      </c>
      <c r="C9" s="5" t="str">
        <f t="shared" si="0"/>
        <v>09:16:31</v>
      </c>
      <c r="D9" s="5" t="str">
        <f t="shared" si="1"/>
        <v>05:52:08</v>
      </c>
      <c r="E9" s="5" t="str">
        <f t="shared" si="2"/>
        <v>01:13:10</v>
      </c>
      <c r="F9">
        <f t="shared" si="3"/>
        <v>90</v>
      </c>
      <c r="G9" s="6">
        <f t="shared" si="4"/>
        <v>0.55128627474469205</v>
      </c>
    </row>
    <row r="10" spans="1:7" x14ac:dyDescent="0.3">
      <c r="A10" t="str">
        <f>Break!A10</f>
        <v>Mum_Anjali Sahay (1008520)</v>
      </c>
      <c r="B10" t="str">
        <f t="shared" si="5"/>
        <v xml:space="preserve">Anjali Sahay </v>
      </c>
      <c r="C10" s="5" t="str">
        <f t="shared" si="0"/>
        <v>08:13:18</v>
      </c>
      <c r="D10" s="5" t="str">
        <f t="shared" si="1"/>
        <v>04:52:29</v>
      </c>
      <c r="E10" s="5" t="str">
        <f t="shared" si="2"/>
        <v>01:06:39</v>
      </c>
      <c r="F10">
        <f t="shared" si="3"/>
        <v>89</v>
      </c>
      <c r="G10" s="6">
        <f t="shared" si="4"/>
        <v>0.55206432867085597</v>
      </c>
    </row>
    <row r="11" spans="1:7" x14ac:dyDescent="0.3">
      <c r="A11" t="str">
        <f>Break!A11</f>
        <v>Mum_Annu Latika (1008521)</v>
      </c>
      <c r="B11" t="str">
        <f t="shared" si="5"/>
        <v xml:space="preserve">Annu Latika </v>
      </c>
      <c r="C11" s="5" t="str">
        <f t="shared" si="0"/>
        <v>08:20:41</v>
      </c>
      <c r="D11" s="5" t="str">
        <f t="shared" si="1"/>
        <v>04:58:07</v>
      </c>
      <c r="E11" s="5" t="str">
        <f t="shared" si="2"/>
        <v>01:09:57</v>
      </c>
      <c r="F11">
        <f t="shared" si="3"/>
        <v>54</v>
      </c>
      <c r="G11" s="6">
        <f t="shared" si="4"/>
        <v>0.56868945774108703</v>
      </c>
    </row>
    <row r="12" spans="1:7" x14ac:dyDescent="0.3">
      <c r="A12" t="str">
        <f>Break!A12</f>
        <v>Mum_Anoop Narayan (1008522)</v>
      </c>
      <c r="B12" t="str">
        <f t="shared" si="5"/>
        <v xml:space="preserve">Anoop Narayan </v>
      </c>
      <c r="C12" s="5" t="str">
        <f t="shared" si="0"/>
        <v>08:10:35</v>
      </c>
      <c r="D12" s="5" t="str">
        <f t="shared" si="1"/>
        <v>04:55:28</v>
      </c>
      <c r="E12" s="5" t="str">
        <f t="shared" si="2"/>
        <v>01:09:15</v>
      </c>
      <c r="F12">
        <f t="shared" si="3"/>
        <v>87</v>
      </c>
      <c r="G12" s="6">
        <f t="shared" si="4"/>
        <v>0.56035332087650802</v>
      </c>
    </row>
    <row r="13" spans="1:7" x14ac:dyDescent="0.3">
      <c r="A13" t="str">
        <f>Break!A13</f>
        <v>Mum_Anoop Raj (1008523)</v>
      </c>
      <c r="B13" t="str">
        <f t="shared" si="5"/>
        <v xml:space="preserve">Anoop Raj </v>
      </c>
      <c r="C13" s="5" t="str">
        <f t="shared" si="0"/>
        <v>08:04:10</v>
      </c>
      <c r="D13" s="5" t="str">
        <f t="shared" si="1"/>
        <v>03:47:42</v>
      </c>
      <c r="E13" s="5" t="str">
        <f t="shared" si="2"/>
        <v>03:01:18</v>
      </c>
      <c r="F13">
        <f t="shared" si="3"/>
        <v>65</v>
      </c>
      <c r="G13" s="6">
        <f t="shared" si="4"/>
        <v>0.41552495697073999</v>
      </c>
    </row>
    <row r="14" spans="1:7" x14ac:dyDescent="0.3">
      <c r="A14" t="str">
        <f>Break!A14</f>
        <v>Mum_Anubhuti Gupta (1008524)</v>
      </c>
      <c r="B14" t="str">
        <f t="shared" si="5"/>
        <v xml:space="preserve">Anubhuti Gupta </v>
      </c>
      <c r="C14" s="5" t="str">
        <f t="shared" si="0"/>
        <v>08:14:38</v>
      </c>
      <c r="D14" s="5" t="str">
        <f t="shared" si="1"/>
        <v>04:43:40</v>
      </c>
      <c r="E14" s="5" t="str">
        <f t="shared" si="2"/>
        <v>02:06:41</v>
      </c>
      <c r="F14">
        <f t="shared" si="3"/>
        <v>85</v>
      </c>
      <c r="G14" s="6">
        <f t="shared" si="4"/>
        <v>0.50026955994339195</v>
      </c>
    </row>
    <row r="15" spans="1:7" x14ac:dyDescent="0.3">
      <c r="A15" t="str">
        <f>Break!A15</f>
        <v>Mum_Arun Kumar (1008525)</v>
      </c>
      <c r="B15" t="str">
        <f t="shared" si="5"/>
        <v xml:space="preserve">Arun Kumar </v>
      </c>
      <c r="C15" s="5" t="str">
        <f t="shared" si="0"/>
        <v>07:59:50</v>
      </c>
      <c r="D15" s="5" t="str">
        <f t="shared" si="1"/>
        <v>04:40:27</v>
      </c>
      <c r="E15" s="5" t="str">
        <f t="shared" si="2"/>
        <v>01:10:34</v>
      </c>
      <c r="F15">
        <f t="shared" si="3"/>
        <v>65</v>
      </c>
      <c r="G15" s="6">
        <f t="shared" si="4"/>
        <v>0.51396318166029897</v>
      </c>
    </row>
    <row r="16" spans="1:7" x14ac:dyDescent="0.3">
      <c r="A16" t="str">
        <f>Break!A16</f>
        <v>Mum_Ashish Kumar (1008526)</v>
      </c>
      <c r="B16" t="str">
        <f t="shared" si="5"/>
        <v xml:space="preserve">Ashish Kumar </v>
      </c>
      <c r="C16" s="5" t="str">
        <f t="shared" si="0"/>
        <v>08:16:59</v>
      </c>
      <c r="D16" s="5" t="str">
        <f t="shared" si="1"/>
        <v>04:57:35</v>
      </c>
      <c r="E16" s="5" t="str">
        <f t="shared" si="2"/>
        <v>01:16:59</v>
      </c>
      <c r="F16">
        <f t="shared" si="3"/>
        <v>83</v>
      </c>
      <c r="G16" s="6">
        <f t="shared" si="4"/>
        <v>0.510580502364264</v>
      </c>
    </row>
    <row r="17" spans="1:7" x14ac:dyDescent="0.3">
      <c r="A17" t="str">
        <f>Break!A17</f>
        <v>Mum_Ashok Kumar (1008527)</v>
      </c>
      <c r="B17" t="str">
        <f t="shared" si="5"/>
        <v xml:space="preserve">Ashok Kumar </v>
      </c>
      <c r="C17" s="5" t="str">
        <f t="shared" si="0"/>
        <v>08:17:15</v>
      </c>
      <c r="D17" s="5" t="str">
        <f t="shared" si="1"/>
        <v>04:10:25</v>
      </c>
      <c r="E17" s="5" t="str">
        <f t="shared" si="2"/>
        <v>02:24:20</v>
      </c>
      <c r="F17">
        <f t="shared" si="3"/>
        <v>82</v>
      </c>
      <c r="G17" s="6">
        <f t="shared" si="4"/>
        <v>0.48292274174627098</v>
      </c>
    </row>
    <row r="18" spans="1:7" x14ac:dyDescent="0.3">
      <c r="A18" t="str">
        <f>Break!A18</f>
        <v>Hyd_Ashok Kumar (1008528)</v>
      </c>
      <c r="B18" t="str">
        <f t="shared" si="5"/>
        <v xml:space="preserve">Ashok Kumar </v>
      </c>
      <c r="C18" s="5" t="str">
        <f t="shared" si="0"/>
        <v>07:53:01</v>
      </c>
      <c r="D18" s="5" t="str">
        <f t="shared" si="1"/>
        <v>04:44:12</v>
      </c>
      <c r="E18" s="5" t="str">
        <f t="shared" si="2"/>
        <v>00:56:29</v>
      </c>
      <c r="F18">
        <f t="shared" si="3"/>
        <v>81</v>
      </c>
      <c r="G18" s="6">
        <f t="shared" si="4"/>
        <v>0.57362319861879396</v>
      </c>
    </row>
    <row r="19" spans="1:7" x14ac:dyDescent="0.3">
      <c r="A19" t="str">
        <f>Break!A19</f>
        <v>Hyd_Ashok Kumar (1008529)</v>
      </c>
      <c r="B19" t="str">
        <f t="shared" si="5"/>
        <v xml:space="preserve">Ashok Kumar </v>
      </c>
      <c r="C19" s="5" t="str">
        <f t="shared" si="0"/>
        <v>08:16:43</v>
      </c>
      <c r="D19" s="5" t="str">
        <f t="shared" si="1"/>
        <v>04:58:07</v>
      </c>
      <c r="E19" s="5" t="str">
        <f t="shared" si="2"/>
        <v>01:10:07</v>
      </c>
      <c r="F19">
        <f t="shared" si="3"/>
        <v>80</v>
      </c>
      <c r="G19" s="6">
        <f t="shared" si="4"/>
        <v>0.56430560681810604</v>
      </c>
    </row>
    <row r="20" spans="1:7" x14ac:dyDescent="0.3">
      <c r="A20" t="str">
        <f>Break!A20</f>
        <v>Hyd_Ashok Kumar (1008530)</v>
      </c>
      <c r="B20" t="str">
        <f t="shared" si="5"/>
        <v xml:space="preserve">Ashok Kumar </v>
      </c>
      <c r="C20" s="5" t="str">
        <f t="shared" si="0"/>
        <v>08:21:16</v>
      </c>
      <c r="D20" s="5" t="str">
        <f t="shared" si="1"/>
        <v>04:23:03</v>
      </c>
      <c r="E20" s="5" t="str">
        <f t="shared" si="2"/>
        <v>02:40:10</v>
      </c>
      <c r="F20">
        <f t="shared" si="3"/>
        <v>79</v>
      </c>
      <c r="G20" s="6">
        <f t="shared" si="4"/>
        <v>0.46974331693044302</v>
      </c>
    </row>
    <row r="21" spans="1:7" x14ac:dyDescent="0.3">
      <c r="A21" t="str">
        <f>Break!A21</f>
        <v>Hyd_Ashok Mahto (1008531)</v>
      </c>
      <c r="B21" t="str">
        <f t="shared" si="5"/>
        <v xml:space="preserve">Ashok Mahto </v>
      </c>
      <c r="C21" s="5" t="str">
        <f t="shared" si="0"/>
        <v>08:17:52</v>
      </c>
      <c r="D21" s="5" t="str">
        <f t="shared" si="1"/>
        <v>04:58:14</v>
      </c>
      <c r="E21" s="5" t="str">
        <f t="shared" si="2"/>
        <v>01:14:30</v>
      </c>
      <c r="F21">
        <f t="shared" si="3"/>
        <v>78</v>
      </c>
      <c r="G21" s="6">
        <f t="shared" si="4"/>
        <v>0.57495313336904097</v>
      </c>
    </row>
    <row r="22" spans="1:7" x14ac:dyDescent="0.3">
      <c r="A22" t="str">
        <f>Break!A22</f>
        <v>Hyd_Atul Kumar (1008532)</v>
      </c>
      <c r="B22" t="str">
        <f t="shared" si="5"/>
        <v xml:space="preserve">Atul Kumar </v>
      </c>
      <c r="C22" s="5" t="str">
        <f t="shared" si="0"/>
        <v>08:13:41</v>
      </c>
      <c r="D22" s="5" t="str">
        <f t="shared" si="1"/>
        <v>04:53:40</v>
      </c>
      <c r="E22" s="5" t="str">
        <f t="shared" si="2"/>
        <v>01:06:59</v>
      </c>
      <c r="F22">
        <f t="shared" si="3"/>
        <v>77</v>
      </c>
      <c r="G22" s="6">
        <f t="shared" si="4"/>
        <v>0.57945376590932096</v>
      </c>
    </row>
    <row r="23" spans="1:7" x14ac:dyDescent="0.3">
      <c r="A23" t="str">
        <f>Break!A23</f>
        <v>Hyd_Azam (1008533)</v>
      </c>
      <c r="B23" t="str">
        <f t="shared" si="5"/>
        <v xml:space="preserve">Azam </v>
      </c>
      <c r="C23" s="5" t="str">
        <f t="shared" si="0"/>
        <v>08:17:34</v>
      </c>
      <c r="D23" s="5" t="str">
        <f t="shared" si="1"/>
        <v>04:59:50</v>
      </c>
      <c r="E23" s="5" t="str">
        <f t="shared" si="2"/>
        <v>01:09:47</v>
      </c>
      <c r="F23">
        <f t="shared" si="3"/>
        <v>76</v>
      </c>
      <c r="G23" s="6">
        <f t="shared" si="4"/>
        <v>0.588296375695049</v>
      </c>
    </row>
    <row r="24" spans="1:7" x14ac:dyDescent="0.3">
      <c r="A24" t="str">
        <f>Break!A24</f>
        <v>Hyd_Bhagwat Singh (1008534)</v>
      </c>
      <c r="B24" t="str">
        <f t="shared" si="5"/>
        <v xml:space="preserve">Bhagwat Singh </v>
      </c>
      <c r="C24" s="5" t="str">
        <f t="shared" si="0"/>
        <v>07:41:44</v>
      </c>
      <c r="D24" s="5" t="str">
        <f t="shared" si="1"/>
        <v>04:08:57</v>
      </c>
      <c r="E24" s="5" t="str">
        <f t="shared" si="2"/>
        <v>02:10:18</v>
      </c>
      <c r="F24">
        <f t="shared" si="3"/>
        <v>75</v>
      </c>
      <c r="G24" s="6">
        <f t="shared" si="4"/>
        <v>0.46267686976609901</v>
      </c>
    </row>
    <row r="25" spans="1:7" x14ac:dyDescent="0.3">
      <c r="A25" t="str">
        <f>Break!A25</f>
        <v>Hyd_Bindu Nair (1008535)</v>
      </c>
      <c r="B25" t="str">
        <f t="shared" si="5"/>
        <v xml:space="preserve">Bindu Nair </v>
      </c>
      <c r="C25" s="5" t="str">
        <f t="shared" si="0"/>
        <v>08:10:04</v>
      </c>
      <c r="D25" s="5" t="str">
        <f t="shared" si="1"/>
        <v>04:14:05</v>
      </c>
      <c r="E25" s="5" t="str">
        <f t="shared" si="2"/>
        <v>02:11:17</v>
      </c>
      <c r="F25">
        <f t="shared" si="3"/>
        <v>74</v>
      </c>
      <c r="G25" s="6">
        <f t="shared" si="4"/>
        <v>0.478030199972793</v>
      </c>
    </row>
    <row r="26" spans="1:7" x14ac:dyDescent="0.3">
      <c r="A26" t="str">
        <f>Break!A26</f>
        <v>Hyd_Daleep Singh (1008536)</v>
      </c>
      <c r="B26" t="str">
        <f t="shared" si="5"/>
        <v xml:space="preserve">Daleep Singh </v>
      </c>
      <c r="C26" s="5" t="str">
        <f t="shared" si="0"/>
        <v>08:14:20</v>
      </c>
      <c r="D26" s="5" t="str">
        <f t="shared" si="1"/>
        <v>05:26:56</v>
      </c>
      <c r="E26" s="5" t="str">
        <f t="shared" si="2"/>
        <v>01:12:54</v>
      </c>
      <c r="F26">
        <f t="shared" si="3"/>
        <v>73</v>
      </c>
      <c r="G26" s="6">
        <f t="shared" si="4"/>
        <v>0.59983142279163904</v>
      </c>
    </row>
    <row r="27" spans="1:7" x14ac:dyDescent="0.3">
      <c r="A27" t="str">
        <f>Break!A27</f>
        <v>Hyd_Deepak Kumar (1008537)</v>
      </c>
      <c r="B27" t="str">
        <f t="shared" si="5"/>
        <v xml:space="preserve">Deepak Kumar </v>
      </c>
      <c r="C27" s="5" t="str">
        <f t="shared" si="0"/>
        <v>07:35:57</v>
      </c>
      <c r="D27" s="5" t="str">
        <f t="shared" si="1"/>
        <v>05:05:16</v>
      </c>
      <c r="E27" s="5" t="str">
        <f t="shared" si="2"/>
        <v>00:30:30</v>
      </c>
      <c r="F27">
        <f t="shared" si="3"/>
        <v>72</v>
      </c>
      <c r="G27" s="6">
        <f t="shared" si="4"/>
        <v>0.65029060203969702</v>
      </c>
    </row>
    <row r="28" spans="1:7" x14ac:dyDescent="0.3">
      <c r="A28" t="str">
        <f>Break!A28</f>
        <v>Hyd_Deepika Nigam (1008538)</v>
      </c>
      <c r="B28" t="str">
        <f t="shared" si="5"/>
        <v xml:space="preserve">Deepika Nigam </v>
      </c>
      <c r="C28" s="5" t="str">
        <f t="shared" si="0"/>
        <v>08:16:59</v>
      </c>
      <c r="D28" s="5" t="str">
        <f t="shared" si="1"/>
        <v>04:56:45</v>
      </c>
      <c r="E28" s="5" t="str">
        <f t="shared" si="2"/>
        <v>01:11:40</v>
      </c>
      <c r="F28">
        <f t="shared" si="3"/>
        <v>71</v>
      </c>
      <c r="G28" s="6">
        <f t="shared" si="4"/>
        <v>0.55001844461584903</v>
      </c>
    </row>
    <row r="29" spans="1:7" x14ac:dyDescent="0.3">
      <c r="A29" t="str">
        <f>Break!A29</f>
        <v>Hyd_Dinesh Kumar (1008539)</v>
      </c>
      <c r="B29" t="str">
        <f t="shared" si="5"/>
        <v xml:space="preserve">Dinesh Kumar </v>
      </c>
      <c r="C29" s="5" t="str">
        <f t="shared" si="0"/>
        <v>08:13:53</v>
      </c>
      <c r="D29" s="5" t="str">
        <f t="shared" si="1"/>
        <v>05:06:20</v>
      </c>
      <c r="E29" s="5" t="str">
        <f t="shared" si="2"/>
        <v>01:10:03</v>
      </c>
      <c r="F29">
        <f t="shared" si="3"/>
        <v>70</v>
      </c>
      <c r="G29" s="6">
        <f t="shared" si="4"/>
        <v>0.51334660682347399</v>
      </c>
    </row>
    <row r="30" spans="1:7" x14ac:dyDescent="0.3">
      <c r="A30" t="str">
        <f>Break!A30</f>
        <v>Hyd_Hari Kumar (1008540)</v>
      </c>
      <c r="B30" t="str">
        <f t="shared" si="5"/>
        <v xml:space="preserve">Hari Kumar </v>
      </c>
      <c r="C30" s="5" t="str">
        <f t="shared" si="0"/>
        <v>08:15:11</v>
      </c>
      <c r="D30" s="5" t="str">
        <f t="shared" si="1"/>
        <v>04:11:43</v>
      </c>
      <c r="E30" s="5" t="str">
        <f t="shared" si="2"/>
        <v>02:44:52</v>
      </c>
      <c r="F30">
        <f t="shared" si="3"/>
        <v>69</v>
      </c>
      <c r="G30" s="6">
        <f t="shared" si="4"/>
        <v>0.43603379219817601</v>
      </c>
    </row>
    <row r="31" spans="1:7" x14ac:dyDescent="0.3">
      <c r="A31" t="str">
        <f>Break!A31</f>
        <v>Hyd_Heeramani Choudhary (1008541)</v>
      </c>
      <c r="B31" t="str">
        <f t="shared" si="5"/>
        <v xml:space="preserve">Heeramani Choudhary </v>
      </c>
      <c r="C31" s="5" t="str">
        <f t="shared" si="0"/>
        <v>07:27:24</v>
      </c>
      <c r="D31" s="5" t="str">
        <f t="shared" si="1"/>
        <v>04:35:28</v>
      </c>
      <c r="E31" s="5" t="str">
        <f t="shared" si="2"/>
        <v>01:20:20</v>
      </c>
      <c r="F31">
        <f t="shared" si="3"/>
        <v>68</v>
      </c>
      <c r="G31" s="6">
        <f t="shared" si="4"/>
        <v>0.52954105200417201</v>
      </c>
    </row>
    <row r="32" spans="1:7" x14ac:dyDescent="0.3">
      <c r="A32" t="str">
        <f>Break!A32</f>
        <v>Hyd_Indra Pal (1008542)</v>
      </c>
      <c r="B32" t="str">
        <f t="shared" si="5"/>
        <v xml:space="preserve">Indra Pal </v>
      </c>
      <c r="C32" s="5" t="str">
        <f t="shared" si="0"/>
        <v>07:59:57</v>
      </c>
      <c r="D32" s="5" t="str">
        <f t="shared" si="1"/>
        <v>05:14:16</v>
      </c>
      <c r="E32" s="5" t="str">
        <f t="shared" si="2"/>
        <v>01:09:15</v>
      </c>
      <c r="F32">
        <f t="shared" si="3"/>
        <v>67</v>
      </c>
      <c r="G32" s="6">
        <f t="shared" si="4"/>
        <v>0.56446852102649603</v>
      </c>
    </row>
    <row r="33" spans="1:7" x14ac:dyDescent="0.3">
      <c r="A33" t="str">
        <f>Break!A33</f>
        <v>Hyd_Indra Singh (1008543)</v>
      </c>
      <c r="B33" t="str">
        <f t="shared" si="5"/>
        <v xml:space="preserve">Indra Singh </v>
      </c>
      <c r="C33" s="5" t="str">
        <f t="shared" si="0"/>
        <v>08:17:44</v>
      </c>
      <c r="D33" s="5" t="str">
        <f t="shared" si="1"/>
        <v>05:05:03</v>
      </c>
      <c r="E33" s="5" t="str">
        <f t="shared" si="2"/>
        <v>02:09:14</v>
      </c>
      <c r="F33">
        <f t="shared" si="3"/>
        <v>66</v>
      </c>
      <c r="G33" s="6">
        <f t="shared" si="4"/>
        <v>0.49789043664612898</v>
      </c>
    </row>
    <row r="34" spans="1:7" x14ac:dyDescent="0.3">
      <c r="A34" t="str">
        <f>Break!A34</f>
        <v>Hyd_Jagdish Chandra (1008544)</v>
      </c>
      <c r="B34" t="str">
        <f t="shared" si="5"/>
        <v xml:space="preserve">Jagdish Chandra </v>
      </c>
      <c r="C34" s="5" t="str">
        <f t="shared" ref="C34:C65" si="6">VLOOKUP($A34,Efficiency,2,0)</f>
        <v>08:19:10</v>
      </c>
      <c r="D34" s="5" t="str">
        <f t="shared" ref="D34:D65" si="7">VLOOKUP(A34,Efficiency,3,0)</f>
        <v>04:59:15</v>
      </c>
      <c r="E34" s="5" t="str">
        <f t="shared" ref="E34:E65" si="8">VLOOKUP(A34,Break,9,0)</f>
        <v>01:09:03</v>
      </c>
      <c r="F34">
        <f t="shared" ref="F34:F65" si="9">VLOOKUP(A34,OverAll,2,0)</f>
        <v>65</v>
      </c>
      <c r="G34" s="6">
        <f t="shared" ref="G34:G65" si="10">VLOOKUP(A34,Efficiency,6,0)</f>
        <v>0.56270450751252099</v>
      </c>
    </row>
    <row r="35" spans="1:7" x14ac:dyDescent="0.3">
      <c r="A35" t="str">
        <f>Break!A35</f>
        <v>Hyd_Jairaj Vatham (1008545)</v>
      </c>
      <c r="B35" t="str">
        <f t="shared" si="5"/>
        <v xml:space="preserve">Jairaj Vatham </v>
      </c>
      <c r="C35" s="5" t="str">
        <f t="shared" si="6"/>
        <v>08:16:23</v>
      </c>
      <c r="D35" s="5" t="str">
        <f t="shared" si="7"/>
        <v>05:02:08</v>
      </c>
      <c r="E35" s="5" t="str">
        <f t="shared" si="8"/>
        <v>01:09:56</v>
      </c>
      <c r="F35">
        <f t="shared" si="9"/>
        <v>64</v>
      </c>
      <c r="G35" s="6">
        <f t="shared" si="10"/>
        <v>0.57680556021891705</v>
      </c>
    </row>
    <row r="36" spans="1:7" x14ac:dyDescent="0.3">
      <c r="A36" t="str">
        <f>Break!A36</f>
        <v>Hyd_Janardan Mishra (1008546)</v>
      </c>
      <c r="B36" t="str">
        <f t="shared" si="5"/>
        <v xml:space="preserve">Janardan Mishra </v>
      </c>
      <c r="C36" s="5" t="str">
        <f t="shared" si="6"/>
        <v>07:39:42</v>
      </c>
      <c r="D36" s="5" t="str">
        <f t="shared" si="7"/>
        <v>04:32:56</v>
      </c>
      <c r="E36" s="5" t="str">
        <f t="shared" si="8"/>
        <v>01:28:09</v>
      </c>
      <c r="F36">
        <f t="shared" si="9"/>
        <v>63</v>
      </c>
      <c r="G36" s="6">
        <f t="shared" si="10"/>
        <v>0.55728373576970502</v>
      </c>
    </row>
    <row r="37" spans="1:7" x14ac:dyDescent="0.3">
      <c r="A37" t="str">
        <f>Break!A37</f>
        <v>Hyd_Jitendra Kumar (1008547)</v>
      </c>
      <c r="B37" t="str">
        <f t="shared" si="5"/>
        <v xml:space="preserve">Jitendra Kumar </v>
      </c>
      <c r="C37" s="5" t="str">
        <f t="shared" si="6"/>
        <v>08:11:27</v>
      </c>
      <c r="D37" s="5" t="str">
        <f t="shared" si="7"/>
        <v>04:07:41</v>
      </c>
      <c r="E37" s="5" t="str">
        <f t="shared" si="8"/>
        <v>02:35:12</v>
      </c>
      <c r="F37">
        <f t="shared" si="9"/>
        <v>62</v>
      </c>
      <c r="G37" s="6">
        <f t="shared" si="10"/>
        <v>0.47590463594126198</v>
      </c>
    </row>
    <row r="38" spans="1:7" x14ac:dyDescent="0.3">
      <c r="A38" t="str">
        <f>Break!A38</f>
        <v>Hyd_John D'Costa (1008548)</v>
      </c>
      <c r="B38" t="str">
        <f t="shared" si="5"/>
        <v xml:space="preserve">John D'Costa </v>
      </c>
      <c r="C38" s="5" t="str">
        <f t="shared" si="6"/>
        <v>08:09:47</v>
      </c>
      <c r="D38" s="5" t="str">
        <f t="shared" si="7"/>
        <v>04:51:30</v>
      </c>
      <c r="E38" s="5" t="str">
        <f t="shared" si="8"/>
        <v>01:09:36</v>
      </c>
      <c r="F38">
        <f t="shared" si="9"/>
        <v>61</v>
      </c>
      <c r="G38" s="6">
        <f t="shared" si="10"/>
        <v>0.55636846224520997</v>
      </c>
    </row>
    <row r="39" spans="1:7" x14ac:dyDescent="0.3">
      <c r="A39" t="str">
        <f>Break!A39</f>
        <v>Hyd_Julie S (1008549)</v>
      </c>
      <c r="B39" t="str">
        <f t="shared" si="5"/>
        <v xml:space="preserve">Julie S </v>
      </c>
      <c r="C39" s="5" t="str">
        <f t="shared" si="6"/>
        <v>08:15:46</v>
      </c>
      <c r="D39" s="5" t="str">
        <f t="shared" si="7"/>
        <v>04:56:12</v>
      </c>
      <c r="E39" s="5" t="str">
        <f t="shared" si="8"/>
        <v>01:10:44</v>
      </c>
      <c r="F39">
        <f t="shared" si="9"/>
        <v>60</v>
      </c>
      <c r="G39" s="6">
        <f t="shared" si="10"/>
        <v>0.527970147246689</v>
      </c>
    </row>
    <row r="40" spans="1:7" x14ac:dyDescent="0.3">
      <c r="A40" t="str">
        <f>Break!A40</f>
        <v>Hyd_Jyoti Tulsani (1008550)</v>
      </c>
      <c r="B40" t="str">
        <f t="shared" si="5"/>
        <v xml:space="preserve">Jyoti Tulsani </v>
      </c>
      <c r="C40" s="5" t="str">
        <f t="shared" si="6"/>
        <v>08:15:19</v>
      </c>
      <c r="D40" s="5" t="str">
        <f t="shared" si="7"/>
        <v>04:56:56</v>
      </c>
      <c r="E40" s="5" t="str">
        <f t="shared" si="8"/>
        <v>01:10:27</v>
      </c>
      <c r="F40">
        <f t="shared" si="9"/>
        <v>59</v>
      </c>
      <c r="G40" s="6">
        <f t="shared" si="10"/>
        <v>0.565025741108382</v>
      </c>
    </row>
    <row r="41" spans="1:7" x14ac:dyDescent="0.3">
      <c r="A41" t="str">
        <f>Break!A41</f>
        <v>Hyd_Kahkasha Parveen (1008551)</v>
      </c>
      <c r="B41" t="str">
        <f t="shared" si="5"/>
        <v xml:space="preserve">Kahkasha Parveen </v>
      </c>
      <c r="C41" s="5" t="str">
        <f t="shared" si="6"/>
        <v>08:17:24</v>
      </c>
      <c r="D41" s="5" t="str">
        <f t="shared" si="7"/>
        <v>05:25:18</v>
      </c>
      <c r="E41" s="5" t="str">
        <f t="shared" si="8"/>
        <v>01:10:12</v>
      </c>
      <c r="F41">
        <f t="shared" si="9"/>
        <v>58</v>
      </c>
      <c r="G41" s="6">
        <f t="shared" si="10"/>
        <v>0.48579278917035301</v>
      </c>
    </row>
    <row r="42" spans="1:7" x14ac:dyDescent="0.3">
      <c r="A42" t="str">
        <f>Break!A42</f>
        <v>Hyd_Kailash Nath (1008552)</v>
      </c>
      <c r="B42" t="str">
        <f t="shared" si="5"/>
        <v xml:space="preserve">Kailash Nath </v>
      </c>
      <c r="C42" s="5" t="str">
        <f t="shared" si="6"/>
        <v>08:16:01</v>
      </c>
      <c r="D42" s="5" t="str">
        <f t="shared" si="7"/>
        <v>04:58:27</v>
      </c>
      <c r="E42" s="5" t="str">
        <f t="shared" si="8"/>
        <v>01:07:40</v>
      </c>
      <c r="F42">
        <f t="shared" si="9"/>
        <v>57</v>
      </c>
      <c r="G42" s="6">
        <f t="shared" si="10"/>
        <v>0.572258996673499</v>
      </c>
    </row>
    <row r="43" spans="1:7" x14ac:dyDescent="0.3">
      <c r="A43" t="str">
        <f>Break!A43</f>
        <v>Hyd_Kalpana Agrawal (1008553)</v>
      </c>
      <c r="B43" t="str">
        <f t="shared" si="5"/>
        <v xml:space="preserve">Kalpana Agrawal </v>
      </c>
      <c r="C43" s="5" t="str">
        <f t="shared" si="6"/>
        <v>08:00:08</v>
      </c>
      <c r="D43" s="5" t="str">
        <f t="shared" si="7"/>
        <v>03:54:19</v>
      </c>
      <c r="E43" s="5" t="str">
        <f t="shared" si="8"/>
        <v>02:24:54</v>
      </c>
      <c r="F43">
        <f t="shared" si="9"/>
        <v>56</v>
      </c>
      <c r="G43" s="6">
        <f t="shared" si="10"/>
        <v>0.46542627048042201</v>
      </c>
    </row>
    <row r="44" spans="1:7" x14ac:dyDescent="0.3">
      <c r="A44" t="str">
        <f>Break!A44</f>
        <v>Hyd_Kamini Kumar (1008554)</v>
      </c>
      <c r="B44" t="str">
        <f t="shared" si="5"/>
        <v xml:space="preserve">Kamini Kumar </v>
      </c>
      <c r="C44" s="5" t="str">
        <f t="shared" si="6"/>
        <v>05:01:37</v>
      </c>
      <c r="D44" s="5" t="str">
        <f t="shared" si="7"/>
        <v>03:21:30</v>
      </c>
      <c r="E44" s="5" t="str">
        <f t="shared" si="8"/>
        <v>00:15:00</v>
      </c>
      <c r="F44">
        <f t="shared" si="9"/>
        <v>55</v>
      </c>
      <c r="G44" s="6">
        <f t="shared" si="10"/>
        <v>0.64380836602751801</v>
      </c>
    </row>
    <row r="45" spans="1:7" x14ac:dyDescent="0.3">
      <c r="A45" t="str">
        <f>Break!A45</f>
        <v>Hyd_Kamini Tiwari (1008555)</v>
      </c>
      <c r="B45" t="str">
        <f t="shared" si="5"/>
        <v xml:space="preserve">Kamini Tiwari </v>
      </c>
      <c r="C45" s="5" t="str">
        <f t="shared" si="6"/>
        <v>08:26:46</v>
      </c>
      <c r="D45" s="5" t="str">
        <f t="shared" si="7"/>
        <v>05:18:49</v>
      </c>
      <c r="E45" s="5" t="str">
        <f t="shared" si="8"/>
        <v>01:09:45</v>
      </c>
      <c r="F45">
        <f t="shared" si="9"/>
        <v>54</v>
      </c>
      <c r="G45" s="6">
        <f t="shared" si="10"/>
        <v>0.57347234098533195</v>
      </c>
    </row>
    <row r="46" spans="1:7" x14ac:dyDescent="0.3">
      <c r="A46" t="str">
        <f>Break!A46</f>
        <v>Hyd_Kavita Sharma (1008556)</v>
      </c>
      <c r="B46" t="str">
        <f t="shared" si="5"/>
        <v xml:space="preserve">Kavita Sharma </v>
      </c>
      <c r="C46" s="5" t="str">
        <f t="shared" si="6"/>
        <v>07:53:25</v>
      </c>
      <c r="D46" s="5" t="str">
        <f t="shared" si="7"/>
        <v>05:26:19</v>
      </c>
      <c r="E46" s="5" t="str">
        <f t="shared" si="8"/>
        <v>00:56:19</v>
      </c>
      <c r="F46">
        <f t="shared" si="9"/>
        <v>53</v>
      </c>
      <c r="G46" s="6">
        <f t="shared" si="10"/>
        <v>0.64717479317021698</v>
      </c>
    </row>
    <row r="47" spans="1:7" x14ac:dyDescent="0.3">
      <c r="A47" t="str">
        <f>Break!A47</f>
        <v>Hyd_Kiran Khubchandani (1008557)</v>
      </c>
      <c r="B47" t="str">
        <f t="shared" si="5"/>
        <v xml:space="preserve">Kiran Khubchandani </v>
      </c>
      <c r="C47" s="5" t="str">
        <f t="shared" si="6"/>
        <v>08:01:28</v>
      </c>
      <c r="D47" s="5" t="str">
        <f t="shared" si="7"/>
        <v>04:13:15</v>
      </c>
      <c r="E47" s="5" t="str">
        <f t="shared" si="8"/>
        <v>02:10:24</v>
      </c>
      <c r="F47">
        <f t="shared" si="9"/>
        <v>52</v>
      </c>
      <c r="G47" s="6">
        <f t="shared" si="10"/>
        <v>0.50443090556632497</v>
      </c>
    </row>
    <row r="48" spans="1:7" x14ac:dyDescent="0.3">
      <c r="A48" t="str">
        <f>Break!A48</f>
        <v>Hyd_Kisun Sah (1008558)</v>
      </c>
      <c r="B48" t="str">
        <f t="shared" si="5"/>
        <v xml:space="preserve">Kisun Sah </v>
      </c>
      <c r="C48" s="5" t="str">
        <f t="shared" si="6"/>
        <v>08:21:34</v>
      </c>
      <c r="D48" s="5" t="str">
        <f t="shared" si="7"/>
        <v>05:08:41</v>
      </c>
      <c r="E48" s="5" t="str">
        <f t="shared" si="8"/>
        <v>01:09:28</v>
      </c>
      <c r="F48">
        <f t="shared" si="9"/>
        <v>51</v>
      </c>
      <c r="G48" s="6">
        <f t="shared" si="10"/>
        <v>0.55280122283511701</v>
      </c>
    </row>
    <row r="49" spans="1:7" x14ac:dyDescent="0.3">
      <c r="A49" t="str">
        <f>Break!A49</f>
        <v>Hyd_Krishana Kumar (1008559)</v>
      </c>
      <c r="B49" t="str">
        <f t="shared" si="5"/>
        <v xml:space="preserve">Krishana Kumar </v>
      </c>
      <c r="C49" s="5" t="str">
        <f t="shared" si="6"/>
        <v>08:15:28</v>
      </c>
      <c r="D49" s="5" t="str">
        <f t="shared" si="7"/>
        <v>04:45:06</v>
      </c>
      <c r="E49" s="5" t="str">
        <f t="shared" si="8"/>
        <v>01:09:45</v>
      </c>
      <c r="F49">
        <f t="shared" si="9"/>
        <v>50</v>
      </c>
      <c r="G49" s="6">
        <f t="shared" si="10"/>
        <v>0.55493137782561897</v>
      </c>
    </row>
    <row r="50" spans="1:7" x14ac:dyDescent="0.3">
      <c r="A50" t="str">
        <f>Break!A50</f>
        <v>Hyd_Kunj Bihari (1008560)</v>
      </c>
      <c r="B50" t="str">
        <f t="shared" si="5"/>
        <v xml:space="preserve">Kunj Bihari </v>
      </c>
      <c r="C50" s="5" t="str">
        <f t="shared" si="6"/>
        <v>07:59:19</v>
      </c>
      <c r="D50" s="5" t="str">
        <f t="shared" si="7"/>
        <v>04:42:13</v>
      </c>
      <c r="E50" s="5" t="str">
        <f t="shared" si="8"/>
        <v>01:10:11</v>
      </c>
      <c r="F50">
        <f t="shared" si="9"/>
        <v>49</v>
      </c>
      <c r="G50" s="6">
        <f t="shared" si="10"/>
        <v>0.55217497131332804</v>
      </c>
    </row>
    <row r="51" spans="1:7" x14ac:dyDescent="0.3">
      <c r="A51" t="str">
        <f>Break!A51</f>
        <v>Hyd_Leena George (1008561)</v>
      </c>
      <c r="B51" t="str">
        <f t="shared" si="5"/>
        <v xml:space="preserve">Leena George </v>
      </c>
      <c r="C51" s="5" t="str">
        <f t="shared" si="6"/>
        <v>04:56:13</v>
      </c>
      <c r="D51" s="5" t="str">
        <f t="shared" si="7"/>
        <v>03:10:50</v>
      </c>
      <c r="E51" s="5" t="str">
        <f t="shared" si="8"/>
        <v>00:18:10</v>
      </c>
      <c r="F51">
        <f t="shared" si="9"/>
        <v>48</v>
      </c>
      <c r="G51" s="6">
        <f t="shared" si="10"/>
        <v>0.58819557756147001</v>
      </c>
    </row>
    <row r="52" spans="1:7" x14ac:dyDescent="0.3">
      <c r="A52" t="str">
        <f>Break!A52</f>
        <v>Hyd_Lilly Lucy (1008562)</v>
      </c>
      <c r="B52" t="str">
        <f t="shared" si="5"/>
        <v xml:space="preserve">Lilly Lucy </v>
      </c>
      <c r="C52" s="5" t="str">
        <f t="shared" si="6"/>
        <v>07:45:23</v>
      </c>
      <c r="D52" s="5" t="str">
        <f t="shared" si="7"/>
        <v>04:39:06</v>
      </c>
      <c r="E52" s="5" t="str">
        <f t="shared" si="8"/>
        <v>01:14:44</v>
      </c>
      <c r="F52">
        <f t="shared" si="9"/>
        <v>47</v>
      </c>
      <c r="G52" s="6">
        <f t="shared" si="10"/>
        <v>0.55534863732407003</v>
      </c>
    </row>
    <row r="53" spans="1:7" x14ac:dyDescent="0.3">
      <c r="A53" t="str">
        <f>Break!A53</f>
        <v>Hyd_Mangal Singh (1008563)</v>
      </c>
      <c r="B53" t="str">
        <f t="shared" si="5"/>
        <v xml:space="preserve">Mangal Singh </v>
      </c>
      <c r="C53" s="5" t="str">
        <f t="shared" si="6"/>
        <v>08:00:13</v>
      </c>
      <c r="D53" s="5" t="str">
        <f t="shared" si="7"/>
        <v>04:46:25</v>
      </c>
      <c r="E53" s="5" t="str">
        <f t="shared" si="8"/>
        <v>01:10:04</v>
      </c>
      <c r="F53">
        <f t="shared" si="9"/>
        <v>46</v>
      </c>
      <c r="G53" s="6">
        <f t="shared" si="10"/>
        <v>0.55815083469267301</v>
      </c>
    </row>
    <row r="54" spans="1:7" x14ac:dyDescent="0.3">
      <c r="A54" t="str">
        <f>Break!A54</f>
        <v>Hyd_Manisha Shrivastava (1008564)</v>
      </c>
      <c r="B54" t="str">
        <f t="shared" si="5"/>
        <v xml:space="preserve">Manisha Shrivastava </v>
      </c>
      <c r="C54" s="5" t="str">
        <f t="shared" si="6"/>
        <v>08:09:49</v>
      </c>
      <c r="D54" s="5" t="str">
        <f t="shared" si="7"/>
        <v>04:51:12</v>
      </c>
      <c r="E54" s="5" t="str">
        <f t="shared" si="8"/>
        <v>01:10:09</v>
      </c>
      <c r="F54">
        <f t="shared" si="9"/>
        <v>45</v>
      </c>
      <c r="G54" s="6">
        <f t="shared" si="10"/>
        <v>0.53002824185919895</v>
      </c>
    </row>
    <row r="55" spans="1:7" x14ac:dyDescent="0.3">
      <c r="A55" t="str">
        <f>Break!A55</f>
        <v>Hyd_Manjusha Sinha (1008565)</v>
      </c>
      <c r="B55" t="str">
        <f t="shared" si="5"/>
        <v xml:space="preserve">Manjusha Sinha </v>
      </c>
      <c r="C55" s="5" t="str">
        <f t="shared" si="6"/>
        <v>08:14:05</v>
      </c>
      <c r="D55" s="5" t="str">
        <f t="shared" si="7"/>
        <v>05:04:01</v>
      </c>
      <c r="E55" s="5" t="str">
        <f t="shared" si="8"/>
        <v>01:10:39</v>
      </c>
      <c r="F55">
        <f t="shared" si="9"/>
        <v>44</v>
      </c>
      <c r="G55" s="6">
        <f t="shared" si="10"/>
        <v>0.54639905548996504</v>
      </c>
    </row>
    <row r="56" spans="1:7" x14ac:dyDescent="0.3">
      <c r="A56" t="str">
        <f>Break!A56</f>
        <v>Hyd_ManjuTiwari Lab (1008566)</v>
      </c>
      <c r="B56" t="str">
        <f t="shared" si="5"/>
        <v xml:space="preserve">ManjuTiwari Lab </v>
      </c>
      <c r="C56" s="5" t="str">
        <f t="shared" si="6"/>
        <v>07:41:28</v>
      </c>
      <c r="D56" s="5" t="str">
        <f t="shared" si="7"/>
        <v>04:26:11</v>
      </c>
      <c r="E56" s="5" t="str">
        <f t="shared" si="8"/>
        <v>01:10:46</v>
      </c>
      <c r="F56">
        <f t="shared" si="9"/>
        <v>43</v>
      </c>
      <c r="G56" s="6">
        <f t="shared" si="10"/>
        <v>0.52849609939323905</v>
      </c>
    </row>
    <row r="57" spans="1:7" x14ac:dyDescent="0.3">
      <c r="A57" t="str">
        <f>Break!A57</f>
        <v>Hyd_Manoj Kumar (1008567)</v>
      </c>
      <c r="B57" t="str">
        <f t="shared" si="5"/>
        <v xml:space="preserve">Manoj Kumar </v>
      </c>
      <c r="C57" s="5" t="str">
        <f t="shared" si="6"/>
        <v>08:00:44</v>
      </c>
      <c r="D57" s="5" t="str">
        <f t="shared" si="7"/>
        <v>04:28:58</v>
      </c>
      <c r="E57" s="5" t="str">
        <f t="shared" si="8"/>
        <v>01:09:53</v>
      </c>
      <c r="F57">
        <f t="shared" si="9"/>
        <v>42</v>
      </c>
      <c r="G57" s="6">
        <f t="shared" si="10"/>
        <v>0.53279711551795905</v>
      </c>
    </row>
    <row r="58" spans="1:7" x14ac:dyDescent="0.3">
      <c r="A58" t="str">
        <f>Break!A58</f>
        <v>Hyd_Manoj Kumar (1008568)</v>
      </c>
      <c r="B58" t="str">
        <f t="shared" si="5"/>
        <v xml:space="preserve">Manoj Kumar </v>
      </c>
      <c r="C58" s="5" t="str">
        <f t="shared" si="6"/>
        <v>07:55:23</v>
      </c>
      <c r="D58" s="5" t="str">
        <f t="shared" si="7"/>
        <v>04:29:51</v>
      </c>
      <c r="E58" s="5" t="str">
        <f t="shared" si="8"/>
        <v>01:15:59</v>
      </c>
      <c r="F58">
        <f t="shared" si="9"/>
        <v>41</v>
      </c>
      <c r="G58" s="6">
        <f t="shared" si="10"/>
        <v>0.53150089401535605</v>
      </c>
    </row>
    <row r="59" spans="1:7" x14ac:dyDescent="0.3">
      <c r="A59" t="str">
        <f>Break!A59</f>
        <v>Hyd_Masroor Adil (1008569)</v>
      </c>
      <c r="B59" t="str">
        <f t="shared" si="5"/>
        <v xml:space="preserve">Masroor Adil </v>
      </c>
      <c r="C59" s="5" t="str">
        <f t="shared" si="6"/>
        <v>08:10:04</v>
      </c>
      <c r="D59" s="5" t="str">
        <f t="shared" si="7"/>
        <v>05:04:35</v>
      </c>
      <c r="E59" s="5" t="str">
        <f t="shared" si="8"/>
        <v>01:11:39</v>
      </c>
      <c r="F59">
        <f t="shared" si="9"/>
        <v>40</v>
      </c>
      <c r="G59" s="6">
        <f t="shared" si="10"/>
        <v>0.58954564004897303</v>
      </c>
    </row>
    <row r="60" spans="1:7" x14ac:dyDescent="0.3">
      <c r="A60" t="str">
        <f>Break!A60</f>
        <v>Hyd_Meena Zinjare (1008570)</v>
      </c>
      <c r="B60" t="str">
        <f t="shared" si="5"/>
        <v xml:space="preserve">Meena Zinjare </v>
      </c>
      <c r="C60" s="5" t="str">
        <f t="shared" si="6"/>
        <v>08:05:29</v>
      </c>
      <c r="D60" s="5" t="str">
        <f t="shared" si="7"/>
        <v>03:09:32</v>
      </c>
      <c r="E60" s="5" t="str">
        <f t="shared" si="8"/>
        <v>03:34:45</v>
      </c>
      <c r="F60">
        <f t="shared" si="9"/>
        <v>39</v>
      </c>
      <c r="G60" s="6">
        <f t="shared" si="10"/>
        <v>0.34903360911806097</v>
      </c>
    </row>
    <row r="61" spans="1:7" x14ac:dyDescent="0.3">
      <c r="A61" t="str">
        <f>Break!A61</f>
        <v>Hyd_Mehnaz Khan (1008571)</v>
      </c>
      <c r="B61" t="str">
        <f t="shared" si="5"/>
        <v xml:space="preserve">Mehnaz Khan </v>
      </c>
      <c r="C61" s="5" t="str">
        <f t="shared" si="6"/>
        <v>08:14:51</v>
      </c>
      <c r="D61" s="5" t="str">
        <f t="shared" si="7"/>
        <v>04:08:21</v>
      </c>
      <c r="E61" s="5" t="str">
        <f t="shared" si="8"/>
        <v>02:12:24</v>
      </c>
      <c r="F61">
        <f t="shared" si="9"/>
        <v>38</v>
      </c>
      <c r="G61" s="6">
        <f t="shared" si="10"/>
        <v>0.47933717288067101</v>
      </c>
    </row>
    <row r="62" spans="1:7" x14ac:dyDescent="0.3">
      <c r="A62" t="str">
        <f>Break!A62</f>
        <v>Hyd_Mercy Thampi (1008572)</v>
      </c>
      <c r="B62" t="str">
        <f t="shared" si="5"/>
        <v xml:space="preserve">Mercy Thampi </v>
      </c>
      <c r="C62" s="5" t="str">
        <f t="shared" si="6"/>
        <v>05:15:35</v>
      </c>
      <c r="D62" s="5" t="str">
        <f t="shared" si="7"/>
        <v>03:38:44</v>
      </c>
      <c r="E62" s="5" t="str">
        <f t="shared" si="8"/>
        <v>00:15:35</v>
      </c>
      <c r="F62">
        <f t="shared" si="9"/>
        <v>37</v>
      </c>
      <c r="G62" s="6">
        <f t="shared" si="10"/>
        <v>0.62762080802746201</v>
      </c>
    </row>
    <row r="63" spans="1:7" x14ac:dyDescent="0.3">
      <c r="A63" t="str">
        <f>Break!A63</f>
        <v>Hyd_Miny Mole (1008573)</v>
      </c>
      <c r="B63" t="str">
        <f t="shared" si="5"/>
        <v xml:space="preserve">Miny Mole </v>
      </c>
      <c r="C63" s="5" t="str">
        <f t="shared" si="6"/>
        <v>08:12:10</v>
      </c>
      <c r="D63" s="5" t="str">
        <f t="shared" si="7"/>
        <v>04:14:06</v>
      </c>
      <c r="E63" s="5" t="str">
        <f t="shared" si="8"/>
        <v>02:13:07</v>
      </c>
      <c r="F63">
        <f t="shared" si="9"/>
        <v>36</v>
      </c>
      <c r="G63" s="6">
        <f t="shared" si="10"/>
        <v>0.47561801557737898</v>
      </c>
    </row>
    <row r="64" spans="1:7" x14ac:dyDescent="0.3">
      <c r="A64" t="str">
        <f>Break!A64</f>
        <v>Hyd_Mohd Rafi (1008574)</v>
      </c>
      <c r="B64" t="str">
        <f t="shared" si="5"/>
        <v xml:space="preserve">Mohd Rafi </v>
      </c>
      <c r="C64" s="5" t="str">
        <f t="shared" si="6"/>
        <v>08:00:32</v>
      </c>
      <c r="D64" s="5" t="str">
        <f t="shared" si="7"/>
        <v>03:55:15</v>
      </c>
      <c r="E64" s="5" t="str">
        <f t="shared" si="8"/>
        <v>02:38:29</v>
      </c>
      <c r="F64">
        <f t="shared" si="9"/>
        <v>35</v>
      </c>
      <c r="G64" s="6">
        <f t="shared" si="10"/>
        <v>0.43635543840177599</v>
      </c>
    </row>
    <row r="65" spans="1:7" x14ac:dyDescent="0.3">
      <c r="A65" t="str">
        <f>Break!A65</f>
        <v>Hyd_Mubeen Khan (1008575)</v>
      </c>
      <c r="B65" t="str">
        <f t="shared" si="5"/>
        <v xml:space="preserve">Mubeen Khan </v>
      </c>
      <c r="C65" s="5" t="str">
        <f t="shared" si="6"/>
        <v>07:55:35</v>
      </c>
      <c r="D65" s="5" t="str">
        <f t="shared" si="7"/>
        <v>03:50:43</v>
      </c>
      <c r="E65" s="5" t="str">
        <f t="shared" si="8"/>
        <v>02:24:38</v>
      </c>
      <c r="F65">
        <f t="shared" si="9"/>
        <v>34</v>
      </c>
      <c r="G65" s="6">
        <f t="shared" si="10"/>
        <v>0.451270369721395</v>
      </c>
    </row>
    <row r="66" spans="1:7" x14ac:dyDescent="0.3">
      <c r="A66" t="str">
        <f>Break!A66</f>
        <v>Hyd_Mukesh Nagar (1008576)</v>
      </c>
      <c r="B66" t="str">
        <f t="shared" si="5"/>
        <v xml:space="preserve">Mukesh Nagar </v>
      </c>
      <c r="C66" s="5" t="str">
        <f t="shared" ref="C66:C97" si="11">VLOOKUP($A66,Efficiency,2,0)</f>
        <v>05:01:07</v>
      </c>
      <c r="D66" s="5" t="str">
        <f t="shared" ref="D66:D97" si="12">VLOOKUP(A66,Efficiency,3,0)</f>
        <v>03:13:40</v>
      </c>
      <c r="E66" s="5" t="str">
        <f t="shared" ref="E66:E97" si="13">VLOOKUP(A66,Break,9,0)</f>
        <v>00:29:34</v>
      </c>
      <c r="F66">
        <f t="shared" ref="F66:F97" si="14">VLOOKUP(A66,OverAll,2,0)</f>
        <v>33</v>
      </c>
      <c r="G66" s="6">
        <f t="shared" ref="G66:G97" si="15">VLOOKUP(A66,Efficiency,6,0)</f>
        <v>0.61244257486024201</v>
      </c>
    </row>
    <row r="67" spans="1:7" x14ac:dyDescent="0.3">
      <c r="A67" t="str">
        <f>Break!A67</f>
        <v>Hyd_Nandu Kumar (1008577)</v>
      </c>
      <c r="B67" t="str">
        <f t="shared" ref="B67:B130" si="16">MID(A67,FIND("_",A67,1)+1,FIND("(",A67,1)-FIND("_",A67,1)-1)</f>
        <v xml:space="preserve">Nandu Kumar </v>
      </c>
      <c r="C67" s="5" t="str">
        <f t="shared" si="11"/>
        <v>08:21:39</v>
      </c>
      <c r="D67" s="5" t="str">
        <f t="shared" si="12"/>
        <v>04:43:39</v>
      </c>
      <c r="E67" s="5" t="str">
        <f t="shared" si="13"/>
        <v>01:14:03</v>
      </c>
      <c r="F67">
        <f t="shared" si="14"/>
        <v>32</v>
      </c>
      <c r="G67" s="6">
        <f t="shared" si="15"/>
        <v>0.51755872288115901</v>
      </c>
    </row>
    <row r="68" spans="1:7" x14ac:dyDescent="0.3">
      <c r="A68" t="str">
        <f>Break!A68</f>
        <v>Hyd_Narayan Singh (1008578)</v>
      </c>
      <c r="B68" t="str">
        <f t="shared" si="16"/>
        <v xml:space="preserve">Narayan Singh </v>
      </c>
      <c r="C68" s="5" t="str">
        <f t="shared" si="11"/>
        <v>08:19:29</v>
      </c>
      <c r="D68" s="5" t="str">
        <f t="shared" si="12"/>
        <v>04:54:19</v>
      </c>
      <c r="E68" s="5" t="str">
        <f t="shared" si="13"/>
        <v>01:08:27</v>
      </c>
      <c r="F68">
        <f t="shared" si="14"/>
        <v>31</v>
      </c>
      <c r="G68" s="6">
        <f t="shared" si="15"/>
        <v>0.55550735760285597</v>
      </c>
    </row>
    <row r="69" spans="1:7" x14ac:dyDescent="0.3">
      <c r="A69" t="str">
        <f>Break!A69</f>
        <v>Hyd_Neeraj Saxena (1008579)</v>
      </c>
      <c r="B69" t="str">
        <f t="shared" si="16"/>
        <v xml:space="preserve">Neeraj Saxena </v>
      </c>
      <c r="C69" s="5" t="str">
        <f t="shared" si="11"/>
        <v>08:21:13</v>
      </c>
      <c r="D69" s="5" t="str">
        <f t="shared" si="12"/>
        <v>04:36:09</v>
      </c>
      <c r="E69" s="5" t="str">
        <f t="shared" si="13"/>
        <v>02:15:18</v>
      </c>
      <c r="F69">
        <f t="shared" si="14"/>
        <v>30</v>
      </c>
      <c r="G69" s="6">
        <f t="shared" si="15"/>
        <v>0.45535862734013899</v>
      </c>
    </row>
    <row r="70" spans="1:7" x14ac:dyDescent="0.3">
      <c r="A70" t="str">
        <f>Break!A70</f>
        <v>Hyd_Neeru Mehta (1008580)</v>
      </c>
      <c r="B70" t="str">
        <f t="shared" si="16"/>
        <v xml:space="preserve">Neeru Mehta </v>
      </c>
      <c r="C70" s="5" t="str">
        <f t="shared" si="11"/>
        <v>08:02:20</v>
      </c>
      <c r="D70" s="5" t="str">
        <f t="shared" si="12"/>
        <v>04:44:15</v>
      </c>
      <c r="E70" s="5" t="str">
        <f t="shared" si="13"/>
        <v>01:10:03</v>
      </c>
      <c r="F70">
        <f t="shared" si="14"/>
        <v>29</v>
      </c>
      <c r="G70" s="6">
        <f t="shared" si="15"/>
        <v>0.53445058742225304</v>
      </c>
    </row>
    <row r="71" spans="1:7" x14ac:dyDescent="0.3">
      <c r="A71" t="str">
        <f>Break!A71</f>
        <v>Hyd_Nikita Panwalkar (1008581)</v>
      </c>
      <c r="B71" t="str">
        <f t="shared" si="16"/>
        <v xml:space="preserve">Nikita Panwalkar </v>
      </c>
      <c r="C71" s="5" t="str">
        <f t="shared" si="11"/>
        <v>08:16:46</v>
      </c>
      <c r="D71" s="5" t="str">
        <f t="shared" si="12"/>
        <v>04:58:45</v>
      </c>
      <c r="E71" s="5" t="str">
        <f t="shared" si="13"/>
        <v>01:37:25</v>
      </c>
      <c r="F71">
        <f t="shared" si="14"/>
        <v>28</v>
      </c>
      <c r="G71" s="6">
        <f t="shared" si="15"/>
        <v>0.55914916459773201</v>
      </c>
    </row>
    <row r="72" spans="1:7" x14ac:dyDescent="0.3">
      <c r="A72" t="str">
        <f>Break!A72</f>
        <v>Hyd_Nitin Bhatia (1008582)</v>
      </c>
      <c r="B72" t="str">
        <f t="shared" si="16"/>
        <v xml:space="preserve">Nitin Bhatia </v>
      </c>
      <c r="C72" s="5" t="str">
        <f t="shared" si="11"/>
        <v>08:00:37</v>
      </c>
      <c r="D72" s="5" t="str">
        <f t="shared" si="12"/>
        <v>04:44:56</v>
      </c>
      <c r="E72" s="5" t="str">
        <f t="shared" si="13"/>
        <v>01:09:53</v>
      </c>
      <c r="F72">
        <f t="shared" si="14"/>
        <v>29</v>
      </c>
      <c r="G72" s="6">
        <f t="shared" si="15"/>
        <v>0.56847106148351101</v>
      </c>
    </row>
    <row r="73" spans="1:7" x14ac:dyDescent="0.3">
      <c r="A73" t="str">
        <f>Break!A73</f>
        <v>Hyd_Om Prakash (1008583)</v>
      </c>
      <c r="B73" t="str">
        <f t="shared" si="16"/>
        <v xml:space="preserve">Om Prakash </v>
      </c>
      <c r="C73" s="5" t="str">
        <f t="shared" si="11"/>
        <v>07:55:44</v>
      </c>
      <c r="D73" s="5" t="str">
        <f t="shared" si="12"/>
        <v>04:26:21</v>
      </c>
      <c r="E73" s="5" t="str">
        <f t="shared" si="13"/>
        <v>01:36:03</v>
      </c>
      <c r="F73">
        <f t="shared" si="14"/>
        <v>30</v>
      </c>
      <c r="G73" s="6">
        <f t="shared" si="15"/>
        <v>0.47509108744394601</v>
      </c>
    </row>
    <row r="74" spans="1:7" x14ac:dyDescent="0.3">
      <c r="A74" t="str">
        <f>Break!A74</f>
        <v>Hyd_Omprakash O (1008584)</v>
      </c>
      <c r="B74" t="str">
        <f t="shared" si="16"/>
        <v xml:space="preserve">Omprakash O </v>
      </c>
      <c r="C74" s="5" t="str">
        <f t="shared" si="11"/>
        <v>08:09:43</v>
      </c>
      <c r="D74" s="5" t="str">
        <f t="shared" si="12"/>
        <v>04:02:05</v>
      </c>
      <c r="E74" s="5" t="str">
        <f t="shared" si="13"/>
        <v>02:11:54</v>
      </c>
      <c r="F74">
        <f t="shared" si="14"/>
        <v>31</v>
      </c>
      <c r="G74" s="6">
        <f t="shared" si="15"/>
        <v>0.47578531804104401</v>
      </c>
    </row>
    <row r="75" spans="1:7" x14ac:dyDescent="0.3">
      <c r="A75" t="str">
        <f>Break!A75</f>
        <v>Hyd_Owais Mohd (1008585)</v>
      </c>
      <c r="B75" t="str">
        <f t="shared" si="16"/>
        <v xml:space="preserve">Owais Mohd </v>
      </c>
      <c r="C75" s="5" t="str">
        <f t="shared" si="11"/>
        <v>08:01:11</v>
      </c>
      <c r="D75" s="5" t="str">
        <f t="shared" si="12"/>
        <v>04:02:50</v>
      </c>
      <c r="E75" s="5" t="str">
        <f t="shared" si="13"/>
        <v>02:26:26</v>
      </c>
      <c r="F75">
        <f t="shared" si="14"/>
        <v>32</v>
      </c>
      <c r="G75" s="6">
        <f t="shared" si="15"/>
        <v>0.46898271622042897</v>
      </c>
    </row>
    <row r="76" spans="1:7" x14ac:dyDescent="0.3">
      <c r="A76" t="str">
        <f>Break!A76</f>
        <v>Hyd_Pankaj Shelkey (1008586)</v>
      </c>
      <c r="B76" t="str">
        <f t="shared" si="16"/>
        <v xml:space="preserve">Pankaj Shelkey </v>
      </c>
      <c r="C76" s="5" t="str">
        <f t="shared" si="11"/>
        <v>08:15:54</v>
      </c>
      <c r="D76" s="5" t="str">
        <f t="shared" si="12"/>
        <v>04:26:54</v>
      </c>
      <c r="E76" s="5" t="str">
        <f t="shared" si="13"/>
        <v>01:55:26</v>
      </c>
      <c r="F76">
        <f t="shared" si="14"/>
        <v>33</v>
      </c>
      <c r="G76" s="6">
        <f t="shared" si="15"/>
        <v>0.51361161524500898</v>
      </c>
    </row>
    <row r="77" spans="1:7" x14ac:dyDescent="0.3">
      <c r="A77" t="str">
        <f>Break!A77</f>
        <v>Hyd_Partha Sarathi (1008587)</v>
      </c>
      <c r="B77" t="str">
        <f t="shared" si="16"/>
        <v xml:space="preserve">Partha Sarathi </v>
      </c>
      <c r="C77" s="5" t="str">
        <f t="shared" si="11"/>
        <v>08:32:22</v>
      </c>
      <c r="D77" s="5" t="str">
        <f t="shared" si="12"/>
        <v>05:11:39</v>
      </c>
      <c r="E77" s="5" t="str">
        <f t="shared" si="13"/>
        <v>01:38:42</v>
      </c>
      <c r="F77">
        <f t="shared" si="14"/>
        <v>34</v>
      </c>
      <c r="G77" s="6">
        <f t="shared" si="15"/>
        <v>0.525112224318522</v>
      </c>
    </row>
    <row r="78" spans="1:7" x14ac:dyDescent="0.3">
      <c r="A78" t="str">
        <f>Break!A78</f>
        <v>Hyd_Prabha Desikan (1008588)</v>
      </c>
      <c r="B78" t="str">
        <f t="shared" si="16"/>
        <v xml:space="preserve">Prabha Desikan </v>
      </c>
      <c r="C78" s="5" t="str">
        <f t="shared" si="11"/>
        <v>08:21:49</v>
      </c>
      <c r="D78" s="5" t="str">
        <f t="shared" si="12"/>
        <v>03:03:51</v>
      </c>
      <c r="E78" s="5" t="str">
        <f t="shared" si="13"/>
        <v>04:11:26</v>
      </c>
      <c r="F78">
        <f t="shared" si="14"/>
        <v>35</v>
      </c>
      <c r="G78" s="6">
        <f t="shared" si="15"/>
        <v>0.348600086352918</v>
      </c>
    </row>
    <row r="79" spans="1:7" x14ac:dyDescent="0.3">
      <c r="A79" t="str">
        <f>Break!A79</f>
        <v>Hyd_Pramod Tiwari (1008589)</v>
      </c>
      <c r="B79" t="str">
        <f t="shared" si="16"/>
        <v xml:space="preserve">Pramod Tiwari </v>
      </c>
      <c r="C79" s="5" t="str">
        <f t="shared" si="11"/>
        <v>08:25:20</v>
      </c>
      <c r="D79" s="5" t="str">
        <f t="shared" si="12"/>
        <v>02:54:03</v>
      </c>
      <c r="E79" s="5" t="str">
        <f t="shared" si="13"/>
        <v>04:21:06</v>
      </c>
      <c r="F79">
        <f t="shared" si="14"/>
        <v>36</v>
      </c>
      <c r="G79" s="6">
        <f t="shared" si="15"/>
        <v>0.314709762532982</v>
      </c>
    </row>
    <row r="80" spans="1:7" x14ac:dyDescent="0.3">
      <c r="A80" t="str">
        <f>Break!A80</f>
        <v>Hyd_Prasannakumari S (1008590)</v>
      </c>
      <c r="B80" t="str">
        <f t="shared" si="16"/>
        <v xml:space="preserve">Prasannakumari S </v>
      </c>
      <c r="C80" s="5" t="str">
        <f t="shared" si="11"/>
        <v>08:08:02</v>
      </c>
      <c r="D80" s="5" t="str">
        <f t="shared" si="12"/>
        <v>05:10:46</v>
      </c>
      <c r="E80" s="5" t="str">
        <f t="shared" si="13"/>
        <v>01:10:25</v>
      </c>
      <c r="F80">
        <f t="shared" si="14"/>
        <v>37</v>
      </c>
      <c r="G80" s="6">
        <f t="shared" si="15"/>
        <v>0.55600710333993597</v>
      </c>
    </row>
    <row r="81" spans="1:7" x14ac:dyDescent="0.3">
      <c r="A81" t="str">
        <f>Break!A81</f>
        <v>Hyd_Praveen Kumar (1008591)</v>
      </c>
      <c r="B81" t="str">
        <f t="shared" si="16"/>
        <v xml:space="preserve">Praveen Kumar </v>
      </c>
      <c r="C81" s="5" t="str">
        <f t="shared" si="11"/>
        <v>08:19:20</v>
      </c>
      <c r="D81" s="5" t="str">
        <f t="shared" si="12"/>
        <v>04:08:46</v>
      </c>
      <c r="E81" s="5" t="str">
        <f t="shared" si="13"/>
        <v>02:37:28</v>
      </c>
      <c r="F81">
        <f t="shared" si="14"/>
        <v>38</v>
      </c>
      <c r="G81" s="6">
        <f t="shared" si="15"/>
        <v>0.46221628838451301</v>
      </c>
    </row>
    <row r="82" spans="1:7" x14ac:dyDescent="0.3">
      <c r="A82" t="str">
        <f>Break!A82</f>
        <v>Hyd_Rachel Mathew (1008592)</v>
      </c>
      <c r="B82" t="str">
        <f t="shared" si="16"/>
        <v xml:space="preserve">Rachel Mathew </v>
      </c>
      <c r="C82" s="5" t="str">
        <f t="shared" si="11"/>
        <v>08:25:36</v>
      </c>
      <c r="D82" s="5" t="str">
        <f t="shared" si="12"/>
        <v>03:40:53</v>
      </c>
      <c r="E82" s="5" t="str">
        <f t="shared" si="13"/>
        <v>03:20:01</v>
      </c>
      <c r="F82">
        <f t="shared" si="14"/>
        <v>39</v>
      </c>
      <c r="G82" s="6">
        <f t="shared" si="15"/>
        <v>0.39075685654008402</v>
      </c>
    </row>
    <row r="83" spans="1:7" x14ac:dyDescent="0.3">
      <c r="A83" t="str">
        <f>Break!A83</f>
        <v>Hyd_Rachita Anupam (1008593)</v>
      </c>
      <c r="B83" t="str">
        <f t="shared" si="16"/>
        <v xml:space="preserve">Rachita Anupam </v>
      </c>
      <c r="C83" s="5" t="str">
        <f t="shared" si="11"/>
        <v>08:16:26</v>
      </c>
      <c r="D83" s="5" t="str">
        <f t="shared" si="12"/>
        <v>05:16:03</v>
      </c>
      <c r="E83" s="5" t="str">
        <f t="shared" si="13"/>
        <v>01:08:32</v>
      </c>
      <c r="F83">
        <f t="shared" si="14"/>
        <v>40</v>
      </c>
      <c r="G83" s="6">
        <f t="shared" si="15"/>
        <v>0.54713623850130899</v>
      </c>
    </row>
    <row r="84" spans="1:7" x14ac:dyDescent="0.3">
      <c r="A84" t="str">
        <f>Break!A84</f>
        <v>Hyd_Rachna Chauhan (1008594)</v>
      </c>
      <c r="B84" t="str">
        <f t="shared" si="16"/>
        <v xml:space="preserve">Rachna Chauhan </v>
      </c>
      <c r="C84" s="5" t="str">
        <f t="shared" si="11"/>
        <v>07:36:07</v>
      </c>
      <c r="D84" s="5" t="str">
        <f t="shared" si="12"/>
        <v>05:07:23</v>
      </c>
      <c r="E84" s="5" t="str">
        <f t="shared" si="13"/>
        <v>00:30:20</v>
      </c>
      <c r="F84">
        <f t="shared" si="14"/>
        <v>41</v>
      </c>
      <c r="G84" s="6">
        <f t="shared" si="15"/>
        <v>0.61457229509993805</v>
      </c>
    </row>
    <row r="85" spans="1:7" x14ac:dyDescent="0.3">
      <c r="A85" t="str">
        <f>Break!A85</f>
        <v>Hyd_Raj Kumar (1008595)</v>
      </c>
      <c r="B85" t="str">
        <f t="shared" si="16"/>
        <v xml:space="preserve">Raj Kumar </v>
      </c>
      <c r="C85" s="5" t="str">
        <f t="shared" si="11"/>
        <v>08:09:57</v>
      </c>
      <c r="D85" s="5" t="str">
        <f t="shared" si="12"/>
        <v>05:03:51</v>
      </c>
      <c r="E85" s="5" t="str">
        <f t="shared" si="13"/>
        <v>01:08:44</v>
      </c>
      <c r="F85">
        <f t="shared" si="14"/>
        <v>42</v>
      </c>
      <c r="G85" s="6">
        <f t="shared" si="15"/>
        <v>0.55335578460387103</v>
      </c>
    </row>
    <row r="86" spans="1:7" x14ac:dyDescent="0.3">
      <c r="A86" t="str">
        <f>Break!A86</f>
        <v>Hyd_Rajeev Garg (1008596)</v>
      </c>
      <c r="B86" t="str">
        <f t="shared" si="16"/>
        <v xml:space="preserve">Rajeev Garg </v>
      </c>
      <c r="C86" s="5" t="str">
        <f t="shared" si="11"/>
        <v>08:04:00</v>
      </c>
      <c r="D86" s="5" t="str">
        <f t="shared" si="12"/>
        <v>05:05:29</v>
      </c>
      <c r="E86" s="5" t="str">
        <f t="shared" si="13"/>
        <v>01:08:24</v>
      </c>
      <c r="F86">
        <f t="shared" si="14"/>
        <v>43</v>
      </c>
      <c r="G86" s="6">
        <f t="shared" si="15"/>
        <v>0.611363636363636</v>
      </c>
    </row>
    <row r="87" spans="1:7" x14ac:dyDescent="0.3">
      <c r="A87" t="str">
        <f>Break!A87</f>
        <v>Hyd_Rajeev Kumar (1008597)</v>
      </c>
      <c r="B87" t="str">
        <f t="shared" si="16"/>
        <v xml:space="preserve">Rajeev Kumar </v>
      </c>
      <c r="C87" s="5" t="str">
        <f t="shared" si="11"/>
        <v>07:59:43</v>
      </c>
      <c r="D87" s="5" t="str">
        <f t="shared" si="12"/>
        <v>04:28:51</v>
      </c>
      <c r="E87" s="5" t="str">
        <f t="shared" si="13"/>
        <v>01:37:06</v>
      </c>
      <c r="F87">
        <f t="shared" si="14"/>
        <v>44</v>
      </c>
      <c r="G87" s="6">
        <f t="shared" si="15"/>
        <v>0.51217732689434703</v>
      </c>
    </row>
    <row r="88" spans="1:7" x14ac:dyDescent="0.3">
      <c r="A88" t="str">
        <f>Break!A88</f>
        <v>Hyd_Rajendra Gupta (1008598)</v>
      </c>
      <c r="B88" t="str">
        <f t="shared" si="16"/>
        <v xml:space="preserve">Rajendra Gupta </v>
      </c>
      <c r="C88" s="5" t="str">
        <f t="shared" si="11"/>
        <v>08:25:57</v>
      </c>
      <c r="D88" s="5" t="str">
        <f t="shared" si="12"/>
        <v>04:58:12</v>
      </c>
      <c r="E88" s="5" t="str">
        <f t="shared" si="13"/>
        <v>01:19:08</v>
      </c>
      <c r="F88">
        <f t="shared" si="14"/>
        <v>45</v>
      </c>
      <c r="G88" s="6">
        <f t="shared" si="15"/>
        <v>0.56029910728991705</v>
      </c>
    </row>
    <row r="89" spans="1:7" x14ac:dyDescent="0.3">
      <c r="A89" t="str">
        <f>Break!A89</f>
        <v>Hyd_Rajendra Kumar (1008599)</v>
      </c>
      <c r="B89" t="str">
        <f t="shared" si="16"/>
        <v xml:space="preserve">Rajendra Kumar </v>
      </c>
      <c r="C89" s="5" t="str">
        <f t="shared" si="11"/>
        <v>08:14:44</v>
      </c>
      <c r="D89" s="5" t="str">
        <f t="shared" si="12"/>
        <v>03:55:22</v>
      </c>
      <c r="E89" s="5" t="str">
        <f t="shared" si="13"/>
        <v>02:34:16</v>
      </c>
      <c r="F89">
        <f t="shared" si="14"/>
        <v>46</v>
      </c>
      <c r="G89" s="6">
        <f t="shared" si="15"/>
        <v>0.42891793558819602</v>
      </c>
    </row>
    <row r="90" spans="1:7" x14ac:dyDescent="0.3">
      <c r="A90" t="str">
        <f>Break!A90</f>
        <v>Hyd_Rajendra Prasad (1008600)</v>
      </c>
      <c r="B90" t="str">
        <f t="shared" si="16"/>
        <v xml:space="preserve">Rajendra Prasad </v>
      </c>
      <c r="C90" s="5" t="str">
        <f t="shared" si="11"/>
        <v>08:22:34</v>
      </c>
      <c r="D90" s="5" t="str">
        <f t="shared" si="12"/>
        <v>00:48:33</v>
      </c>
      <c r="E90" s="5" t="str">
        <f t="shared" si="13"/>
        <v>07:08:19</v>
      </c>
      <c r="F90">
        <f t="shared" si="14"/>
        <v>47</v>
      </c>
      <c r="G90" s="6">
        <f t="shared" si="15"/>
        <v>9.4547987000066294E-2</v>
      </c>
    </row>
    <row r="91" spans="1:7" x14ac:dyDescent="0.3">
      <c r="A91" t="str">
        <f>Break!A91</f>
        <v>Hyd_Rajesh Kumar (1008601)</v>
      </c>
      <c r="B91" t="str">
        <f t="shared" si="16"/>
        <v xml:space="preserve">Rajesh Kumar </v>
      </c>
      <c r="C91" s="5" t="str">
        <f t="shared" si="11"/>
        <v>08:00:39</v>
      </c>
      <c r="D91" s="5" t="str">
        <f t="shared" si="12"/>
        <v>05:11:50</v>
      </c>
      <c r="E91" s="5" t="str">
        <f t="shared" si="13"/>
        <v>01:12:04</v>
      </c>
      <c r="F91">
        <f t="shared" si="14"/>
        <v>48</v>
      </c>
      <c r="G91" s="6">
        <f t="shared" si="15"/>
        <v>0.61021533340268397</v>
      </c>
    </row>
    <row r="92" spans="1:7" x14ac:dyDescent="0.3">
      <c r="A92" t="str">
        <f>Break!A92</f>
        <v>Hyd_Rajesh Kumar (1008602)</v>
      </c>
      <c r="B92" t="str">
        <f t="shared" si="16"/>
        <v xml:space="preserve">Rajesh Kumar </v>
      </c>
      <c r="C92" s="5" t="str">
        <f t="shared" si="11"/>
        <v>08:17:39</v>
      </c>
      <c r="D92" s="5" t="str">
        <f t="shared" si="12"/>
        <v>04:49:40</v>
      </c>
      <c r="E92" s="5" t="str">
        <f t="shared" si="13"/>
        <v>02:06:35</v>
      </c>
      <c r="F92">
        <f t="shared" si="14"/>
        <v>49</v>
      </c>
      <c r="G92" s="6">
        <f t="shared" si="15"/>
        <v>0.51260926353863201</v>
      </c>
    </row>
    <row r="93" spans="1:7" x14ac:dyDescent="0.3">
      <c r="A93" t="str">
        <f>Break!A93</f>
        <v>Hyd_Rajesh Sharma (1008603)</v>
      </c>
      <c r="B93" t="str">
        <f t="shared" si="16"/>
        <v xml:space="preserve">Rajesh Sharma </v>
      </c>
      <c r="C93" s="5" t="str">
        <f t="shared" si="11"/>
        <v>05:04:31</v>
      </c>
      <c r="D93" s="5" t="str">
        <f t="shared" si="12"/>
        <v>03:24:21</v>
      </c>
      <c r="E93" s="5" t="str">
        <f t="shared" si="13"/>
        <v>00:24:27</v>
      </c>
      <c r="F93">
        <f t="shared" si="14"/>
        <v>50</v>
      </c>
      <c r="G93" s="6">
        <f t="shared" si="15"/>
        <v>0.62426796562859199</v>
      </c>
    </row>
    <row r="94" spans="1:7" x14ac:dyDescent="0.3">
      <c r="A94" t="str">
        <f>Break!A94</f>
        <v>Hyd_Raji Abraham (1008604)</v>
      </c>
      <c r="B94" t="str">
        <f t="shared" si="16"/>
        <v xml:space="preserve">Raji Abraham </v>
      </c>
      <c r="C94" s="5" t="str">
        <f t="shared" si="11"/>
        <v>08:10:41</v>
      </c>
      <c r="D94" s="5" t="str">
        <f t="shared" si="12"/>
        <v>04:44:35</v>
      </c>
      <c r="E94" s="5" t="str">
        <f t="shared" si="13"/>
        <v>01:09:28</v>
      </c>
      <c r="F94">
        <f t="shared" si="14"/>
        <v>51</v>
      </c>
      <c r="G94" s="6">
        <f t="shared" si="15"/>
        <v>0.54373153085832704</v>
      </c>
    </row>
    <row r="95" spans="1:7" x14ac:dyDescent="0.3">
      <c r="A95" t="str">
        <f>Break!A95</f>
        <v>Hyd_Rajshree Dhabekar (1008605)</v>
      </c>
      <c r="B95" t="str">
        <f t="shared" si="16"/>
        <v xml:space="preserve">Rajshree Dhabekar </v>
      </c>
      <c r="C95" s="5" t="str">
        <f t="shared" si="11"/>
        <v>08:15:13</v>
      </c>
      <c r="D95" s="5" t="str">
        <f t="shared" si="12"/>
        <v>0</v>
      </c>
      <c r="E95" s="5" t="str">
        <f t="shared" si="13"/>
        <v>08:15:09</v>
      </c>
      <c r="F95">
        <f t="shared" si="14"/>
        <v>52</v>
      </c>
      <c r="G95" s="6">
        <f t="shared" si="15"/>
        <v>0</v>
      </c>
    </row>
    <row r="96" spans="1:7" x14ac:dyDescent="0.3">
      <c r="A96" t="str">
        <f>Break!A96</f>
        <v>Hyd_Rakhi Jodhani (1008606)</v>
      </c>
      <c r="B96" t="str">
        <f t="shared" si="16"/>
        <v xml:space="preserve">Rakhi Jodhani </v>
      </c>
      <c r="C96" s="5" t="str">
        <f t="shared" si="11"/>
        <v>08:02:52</v>
      </c>
      <c r="D96" s="5" t="str">
        <f t="shared" si="12"/>
        <v>01:13:06</v>
      </c>
      <c r="E96" s="5" t="str">
        <f t="shared" si="13"/>
        <v>06:39:44</v>
      </c>
      <c r="F96">
        <f t="shared" si="14"/>
        <v>53</v>
      </c>
      <c r="G96" s="6">
        <f t="shared" si="15"/>
        <v>0.14431174927516199</v>
      </c>
    </row>
    <row r="97" spans="1:7" x14ac:dyDescent="0.3">
      <c r="A97" t="str">
        <f>Break!A97</f>
        <v>Hyd_Ramji Prasad (1008607)</v>
      </c>
      <c r="B97" t="str">
        <f t="shared" si="16"/>
        <v xml:space="preserve">Ramji Prasad </v>
      </c>
      <c r="C97" s="5" t="str">
        <f t="shared" si="11"/>
        <v>08:19:26</v>
      </c>
      <c r="D97" s="5" t="str">
        <f t="shared" si="12"/>
        <v>04:53:04</v>
      </c>
      <c r="E97" s="5" t="str">
        <f t="shared" si="13"/>
        <v>01:13:46</v>
      </c>
      <c r="F97">
        <f t="shared" si="14"/>
        <v>54</v>
      </c>
      <c r="G97" s="6">
        <f t="shared" si="15"/>
        <v>0.55259293866381898</v>
      </c>
    </row>
    <row r="98" spans="1:7" x14ac:dyDescent="0.3">
      <c r="A98" t="str">
        <f>Break!A98</f>
        <v>Del_Rashid (1008608)</v>
      </c>
      <c r="B98" t="str">
        <f t="shared" si="16"/>
        <v xml:space="preserve">Rashid </v>
      </c>
      <c r="C98" s="5" t="str">
        <f t="shared" ref="C98:C129" si="17">VLOOKUP($A98,Efficiency,2,0)</f>
        <v>08:02:10</v>
      </c>
      <c r="D98" s="5" t="str">
        <f t="shared" ref="D98:D129" si="18">VLOOKUP(A98,Efficiency,3,0)</f>
        <v>01:36:08</v>
      </c>
      <c r="E98" s="5" t="str">
        <f t="shared" ref="E98:E129" si="19">VLOOKUP(A98,Break,9,0)</f>
        <v>05:45:13</v>
      </c>
      <c r="F98">
        <f t="shared" ref="F98:F129" si="20">VLOOKUP(A98,OverAll,2,0)</f>
        <v>55</v>
      </c>
      <c r="G98" s="6">
        <f t="shared" ref="G98:G129" si="21">VLOOKUP(A98,Efficiency,6,0)</f>
        <v>0.18938817836156199</v>
      </c>
    </row>
    <row r="99" spans="1:7" x14ac:dyDescent="0.3">
      <c r="A99" t="str">
        <f>Break!A99</f>
        <v>Del_Rashmi Gajbe (1008609)</v>
      </c>
      <c r="B99" t="str">
        <f t="shared" si="16"/>
        <v xml:space="preserve">Rashmi Gajbe </v>
      </c>
      <c r="C99" s="5" t="str">
        <f t="shared" si="17"/>
        <v>08:20:42</v>
      </c>
      <c r="D99" s="5" t="str">
        <f t="shared" si="18"/>
        <v>04:16:57</v>
      </c>
      <c r="E99" s="5" t="str">
        <f t="shared" si="19"/>
        <v>02:04:58</v>
      </c>
      <c r="F99">
        <f t="shared" si="20"/>
        <v>56</v>
      </c>
      <c r="G99" s="6">
        <f t="shared" si="21"/>
        <v>0.47077424938419499</v>
      </c>
    </row>
    <row r="100" spans="1:7" x14ac:dyDescent="0.3">
      <c r="A100" t="str">
        <f>Break!A100</f>
        <v>Del_Ravi Kumar (1008610)</v>
      </c>
      <c r="B100" t="str">
        <f t="shared" si="16"/>
        <v xml:space="preserve">Ravi Kumar </v>
      </c>
      <c r="C100" s="5" t="str">
        <f t="shared" si="17"/>
        <v>08:00:44</v>
      </c>
      <c r="D100" s="5" t="str">
        <f t="shared" si="18"/>
        <v>04:47:03</v>
      </c>
      <c r="E100" s="5" t="str">
        <f t="shared" si="19"/>
        <v>01:11:14</v>
      </c>
      <c r="F100">
        <f t="shared" si="20"/>
        <v>57</v>
      </c>
      <c r="G100" s="6">
        <f t="shared" si="21"/>
        <v>0.53862155040909698</v>
      </c>
    </row>
    <row r="101" spans="1:7" x14ac:dyDescent="0.3">
      <c r="A101" t="str">
        <f>Break!A101</f>
        <v>Del_Ravinder Kaur (1008611)</v>
      </c>
      <c r="B101" t="str">
        <f t="shared" si="16"/>
        <v xml:space="preserve">Ravinder Kaur </v>
      </c>
      <c r="C101" s="5" t="str">
        <f t="shared" si="17"/>
        <v>08:01:53</v>
      </c>
      <c r="D101" s="5" t="str">
        <f t="shared" si="18"/>
        <v>04:38:57</v>
      </c>
      <c r="E101" s="5" t="str">
        <f t="shared" si="19"/>
        <v>01:09:28</v>
      </c>
      <c r="F101">
        <f t="shared" si="20"/>
        <v>58</v>
      </c>
      <c r="G101" s="6">
        <f t="shared" si="21"/>
        <v>0.53294365856189296</v>
      </c>
    </row>
    <row r="102" spans="1:7" x14ac:dyDescent="0.3">
      <c r="A102" t="str">
        <f>Break!A102</f>
        <v>Del_Rekha Agarwal (1008612)</v>
      </c>
      <c r="B102" t="str">
        <f t="shared" si="16"/>
        <v xml:space="preserve">Rekha Agarwal </v>
      </c>
      <c r="C102" s="5" t="str">
        <f t="shared" si="17"/>
        <v>05:53:52</v>
      </c>
      <c r="D102" s="5" t="str">
        <f t="shared" si="18"/>
        <v>02:53:07</v>
      </c>
      <c r="E102" s="5" t="str">
        <f t="shared" si="19"/>
        <v>02:41:42</v>
      </c>
      <c r="F102">
        <f t="shared" si="20"/>
        <v>59</v>
      </c>
      <c r="G102" s="6">
        <f t="shared" si="21"/>
        <v>0.41310286360211002</v>
      </c>
    </row>
    <row r="103" spans="1:7" x14ac:dyDescent="0.3">
      <c r="A103" t="str">
        <f>Break!A103</f>
        <v>Del_Rekha Gupta (1008613)</v>
      </c>
      <c r="B103" t="str">
        <f t="shared" si="16"/>
        <v xml:space="preserve">Rekha Gupta </v>
      </c>
      <c r="C103" s="5" t="str">
        <f t="shared" si="17"/>
        <v>08:16:02</v>
      </c>
      <c r="D103" s="5" t="str">
        <f t="shared" si="18"/>
        <v>04:22:52</v>
      </c>
      <c r="E103" s="5" t="str">
        <f t="shared" si="19"/>
        <v>01:50:37</v>
      </c>
      <c r="F103">
        <f t="shared" si="20"/>
        <v>60</v>
      </c>
      <c r="G103" s="6">
        <f t="shared" si="21"/>
        <v>0.50483838451717</v>
      </c>
    </row>
    <row r="104" spans="1:7" x14ac:dyDescent="0.3">
      <c r="A104" t="str">
        <f>Break!A104</f>
        <v>Del_Rekha Jain  (1008614)</v>
      </c>
      <c r="B104" t="str">
        <f t="shared" si="16"/>
        <v xml:space="preserve">Rekha Jain  </v>
      </c>
      <c r="C104" s="5" t="str">
        <f t="shared" si="17"/>
        <v>08:15:42</v>
      </c>
      <c r="D104" s="5" t="str">
        <f t="shared" si="18"/>
        <v>04:25:29</v>
      </c>
      <c r="E104" s="5" t="str">
        <f t="shared" si="19"/>
        <v>01:36:57</v>
      </c>
      <c r="F104">
        <f t="shared" si="20"/>
        <v>61</v>
      </c>
      <c r="G104" s="6">
        <f t="shared" si="21"/>
        <v>0.52390558805729304</v>
      </c>
    </row>
    <row r="105" spans="1:7" x14ac:dyDescent="0.3">
      <c r="A105" t="str">
        <f>Break!A105</f>
        <v>Del_Renu Pratap (1008615)</v>
      </c>
      <c r="B105" t="str">
        <f t="shared" si="16"/>
        <v xml:space="preserve">Renu Pratap </v>
      </c>
      <c r="C105" s="5" t="str">
        <f t="shared" si="17"/>
        <v>08:16:30</v>
      </c>
      <c r="D105" s="5" t="str">
        <f t="shared" si="18"/>
        <v>02:30:29</v>
      </c>
      <c r="E105" s="5" t="str">
        <f t="shared" si="19"/>
        <v>05:07:55</v>
      </c>
      <c r="F105">
        <f t="shared" si="20"/>
        <v>62</v>
      </c>
      <c r="G105" s="6">
        <f t="shared" si="21"/>
        <v>0.25444780127559602</v>
      </c>
    </row>
    <row r="106" spans="1:7" x14ac:dyDescent="0.3">
      <c r="A106" t="str">
        <f>Break!A106</f>
        <v>Del_Ritu Bhatnagar (1008616)</v>
      </c>
      <c r="B106" t="str">
        <f t="shared" si="16"/>
        <v xml:space="preserve">Ritu Bhatnagar </v>
      </c>
      <c r="C106" s="5" t="str">
        <f t="shared" si="17"/>
        <v>08:01:48</v>
      </c>
      <c r="D106" s="5" t="str">
        <f t="shared" si="18"/>
        <v>04:52:13</v>
      </c>
      <c r="E106" s="5" t="str">
        <f t="shared" si="19"/>
        <v>01:13:20</v>
      </c>
      <c r="F106">
        <f t="shared" si="20"/>
        <v>63</v>
      </c>
      <c r="G106" s="6">
        <f t="shared" si="21"/>
        <v>0.55517503805174995</v>
      </c>
    </row>
    <row r="107" spans="1:7" x14ac:dyDescent="0.3">
      <c r="A107" t="str">
        <f>Break!A107</f>
        <v>Del_Rohit Nishchal (1008617)</v>
      </c>
      <c r="B107" t="str">
        <f t="shared" si="16"/>
        <v xml:space="preserve">Rohit Nishchal </v>
      </c>
      <c r="C107" s="5" t="str">
        <f t="shared" si="17"/>
        <v>08:17:09</v>
      </c>
      <c r="D107" s="5">
        <f t="shared" si="18"/>
        <v>0</v>
      </c>
      <c r="E107" s="5" t="str">
        <f t="shared" si="19"/>
        <v>08:17:00</v>
      </c>
      <c r="F107">
        <f t="shared" si="20"/>
        <v>64</v>
      </c>
      <c r="G107" s="6">
        <f t="shared" si="21"/>
        <v>0</v>
      </c>
    </row>
    <row r="108" spans="1:7" x14ac:dyDescent="0.3">
      <c r="A108" t="str">
        <f>Break!A108</f>
        <v>Del_Roli Bhatnagar (1008618)</v>
      </c>
      <c r="B108" t="str">
        <f t="shared" si="16"/>
        <v xml:space="preserve">Roli Bhatnagar </v>
      </c>
      <c r="C108" s="5" t="str">
        <f t="shared" si="17"/>
        <v>08:15:43</v>
      </c>
      <c r="D108" s="5" t="str">
        <f t="shared" si="18"/>
        <v>04:08:30</v>
      </c>
      <c r="E108" s="5" t="str">
        <f t="shared" si="19"/>
        <v>02:10:16</v>
      </c>
      <c r="F108">
        <f t="shared" si="20"/>
        <v>65</v>
      </c>
      <c r="G108" s="6">
        <f t="shared" si="21"/>
        <v>0.477120667047709</v>
      </c>
    </row>
    <row r="109" spans="1:7" x14ac:dyDescent="0.3">
      <c r="A109" t="str">
        <f>Break!A109</f>
        <v>Del_Roma Rastogi (1008619)</v>
      </c>
      <c r="B109" t="str">
        <f t="shared" si="16"/>
        <v xml:space="preserve">Roma Rastogi </v>
      </c>
      <c r="C109" s="5" t="str">
        <f t="shared" si="17"/>
        <v>08:31:02</v>
      </c>
      <c r="D109" s="5" t="str">
        <f t="shared" si="18"/>
        <v>05:35:38</v>
      </c>
      <c r="E109" s="5" t="str">
        <f t="shared" si="19"/>
        <v>00:53:47</v>
      </c>
      <c r="F109">
        <f t="shared" si="20"/>
        <v>66</v>
      </c>
      <c r="G109" s="6">
        <f t="shared" si="21"/>
        <v>0.61917030852521004</v>
      </c>
    </row>
    <row r="110" spans="1:7" x14ac:dyDescent="0.3">
      <c r="A110" t="str">
        <f>Break!A110</f>
        <v>Del_Roohi Haider (1008620)</v>
      </c>
      <c r="B110" t="str">
        <f t="shared" si="16"/>
        <v xml:space="preserve">Roohi Haider </v>
      </c>
      <c r="C110" s="5" t="str">
        <f t="shared" si="17"/>
        <v>08:00:11</v>
      </c>
      <c r="D110" s="5" t="str">
        <f t="shared" si="18"/>
        <v>04:52:11</v>
      </c>
      <c r="E110" s="5" t="str">
        <f t="shared" si="19"/>
        <v>01:09:24</v>
      </c>
      <c r="F110">
        <f t="shared" si="20"/>
        <v>67</v>
      </c>
      <c r="G110" s="6">
        <f t="shared" si="21"/>
        <v>0.55305265350039901</v>
      </c>
    </row>
    <row r="111" spans="1:7" x14ac:dyDescent="0.3">
      <c r="A111" t="str">
        <f>Break!A111</f>
        <v>Del_Sajid Naqvi (1008621)</v>
      </c>
      <c r="B111" t="str">
        <f t="shared" si="16"/>
        <v xml:space="preserve">Sajid Naqvi </v>
      </c>
      <c r="C111" s="5" t="str">
        <f t="shared" si="17"/>
        <v>08:15:48</v>
      </c>
      <c r="D111" s="5" t="str">
        <f t="shared" si="18"/>
        <v>05:00:37</v>
      </c>
      <c r="E111" s="5" t="str">
        <f t="shared" si="19"/>
        <v>01:08:40</v>
      </c>
      <c r="F111">
        <f t="shared" si="20"/>
        <v>68</v>
      </c>
      <c r="G111" s="6">
        <f t="shared" si="21"/>
        <v>0.56195374478956595</v>
      </c>
    </row>
    <row r="112" spans="1:7" x14ac:dyDescent="0.3">
      <c r="A112" t="str">
        <f>Break!A112</f>
        <v>Del_Salim (1008622)</v>
      </c>
      <c r="B112" t="str">
        <f t="shared" si="16"/>
        <v xml:space="preserve">Salim </v>
      </c>
      <c r="C112" s="5" t="str">
        <f t="shared" si="17"/>
        <v>08:15:56</v>
      </c>
      <c r="D112" s="5" t="str">
        <f t="shared" si="18"/>
        <v>04:37:42</v>
      </c>
      <c r="E112" s="5" t="str">
        <f t="shared" si="19"/>
        <v>01:59:29</v>
      </c>
      <c r="F112">
        <f t="shared" si="20"/>
        <v>69</v>
      </c>
      <c r="G112" s="6">
        <f t="shared" si="21"/>
        <v>0.48780077967468699</v>
      </c>
    </row>
    <row r="113" spans="1:7" x14ac:dyDescent="0.3">
      <c r="A113" t="str">
        <f>Break!A113</f>
        <v>Del_Sanjay Hire (1008623)</v>
      </c>
      <c r="B113" t="str">
        <f t="shared" si="16"/>
        <v xml:space="preserve">Sanjay Hire </v>
      </c>
      <c r="C113" s="5" t="str">
        <f t="shared" si="17"/>
        <v>08:15:52</v>
      </c>
      <c r="D113" s="5" t="str">
        <f t="shared" si="18"/>
        <v>05:00:14</v>
      </c>
      <c r="E113" s="5" t="str">
        <f t="shared" si="19"/>
        <v>01:09:43</v>
      </c>
      <c r="F113">
        <f t="shared" si="20"/>
        <v>70</v>
      </c>
      <c r="G113" s="6">
        <f t="shared" si="21"/>
        <v>0.55414762032804499</v>
      </c>
    </row>
    <row r="114" spans="1:7" x14ac:dyDescent="0.3">
      <c r="A114" t="str">
        <f>Break!A114</f>
        <v>Del_Sanjiv Subherwal (1008624)</v>
      </c>
      <c r="B114" t="str">
        <f t="shared" si="16"/>
        <v xml:space="preserve">Sanjiv Subherwal </v>
      </c>
      <c r="C114" s="5" t="str">
        <f t="shared" si="17"/>
        <v>08:02:17</v>
      </c>
      <c r="D114" s="5" t="str">
        <f t="shared" si="18"/>
        <v>05:06:07</v>
      </c>
      <c r="E114" s="5" t="str">
        <f t="shared" si="19"/>
        <v>01:10:15</v>
      </c>
      <c r="F114">
        <f t="shared" si="20"/>
        <v>71</v>
      </c>
      <c r="G114" s="6">
        <f t="shared" si="21"/>
        <v>0.58651553374572396</v>
      </c>
    </row>
    <row r="115" spans="1:7" x14ac:dyDescent="0.3">
      <c r="A115" t="str">
        <f>Break!A115</f>
        <v>Del_Sanju Ramdas (1008625)</v>
      </c>
      <c r="B115" t="str">
        <f t="shared" si="16"/>
        <v xml:space="preserve">Sanju Ramdas </v>
      </c>
      <c r="C115" s="5" t="str">
        <f t="shared" si="17"/>
        <v>08:15:58</v>
      </c>
      <c r="D115" s="5" t="str">
        <f t="shared" si="18"/>
        <v>05:19:44</v>
      </c>
      <c r="E115" s="5" t="str">
        <f t="shared" si="19"/>
        <v>01:13:56</v>
      </c>
      <c r="F115">
        <f t="shared" si="20"/>
        <v>72</v>
      </c>
      <c r="G115" s="6">
        <f t="shared" si="21"/>
        <v>0.58165871362322696</v>
      </c>
    </row>
    <row r="116" spans="1:7" x14ac:dyDescent="0.3">
      <c r="A116" t="str">
        <f>Break!A116</f>
        <v>Del_Santosh Kumar (1008626)</v>
      </c>
      <c r="B116" t="str">
        <f t="shared" si="16"/>
        <v xml:space="preserve">Santosh Kumar </v>
      </c>
      <c r="C116" s="5" t="str">
        <f t="shared" si="17"/>
        <v>08:00:32</v>
      </c>
      <c r="D116" s="5" t="str">
        <f t="shared" si="18"/>
        <v>05:03:10</v>
      </c>
      <c r="E116" s="5" t="str">
        <f t="shared" si="19"/>
        <v>01:09:48</v>
      </c>
      <c r="F116">
        <f t="shared" si="20"/>
        <v>73</v>
      </c>
      <c r="G116" s="6">
        <f t="shared" si="21"/>
        <v>0.59073251942286398</v>
      </c>
    </row>
    <row r="117" spans="1:7" x14ac:dyDescent="0.3">
      <c r="A117" t="str">
        <f>Break!A117</f>
        <v>Del_Santosh Kumar (1008627)</v>
      </c>
      <c r="B117" t="str">
        <f t="shared" si="16"/>
        <v xml:space="preserve">Santosh Kumar </v>
      </c>
      <c r="C117" s="5" t="str">
        <f t="shared" si="17"/>
        <v>08:17:04</v>
      </c>
      <c r="D117" s="5" t="str">
        <f t="shared" si="18"/>
        <v>05:09:57</v>
      </c>
      <c r="E117" s="5" t="str">
        <f t="shared" si="19"/>
        <v>01:10:58</v>
      </c>
      <c r="F117">
        <f t="shared" si="20"/>
        <v>74</v>
      </c>
      <c r="G117" s="6">
        <f t="shared" si="21"/>
        <v>0.58640692060085797</v>
      </c>
    </row>
    <row r="118" spans="1:7" x14ac:dyDescent="0.3">
      <c r="A118" t="str">
        <f>Break!A118</f>
        <v>Del_Santosh Kumar (1008628)</v>
      </c>
      <c r="B118" t="str">
        <f t="shared" si="16"/>
        <v xml:space="preserve">Santosh Kumar </v>
      </c>
      <c r="C118" s="5" t="str">
        <f t="shared" si="17"/>
        <v>08:02:59</v>
      </c>
      <c r="D118" s="5" t="str">
        <f t="shared" si="18"/>
        <v>04:44:19</v>
      </c>
      <c r="E118" s="5" t="str">
        <f t="shared" si="19"/>
        <v>01:12:01</v>
      </c>
      <c r="F118">
        <f t="shared" si="20"/>
        <v>75</v>
      </c>
      <c r="G118" s="6">
        <f t="shared" si="21"/>
        <v>0.54653369681493502</v>
      </c>
    </row>
    <row r="119" spans="1:7" x14ac:dyDescent="0.3">
      <c r="A119" t="str">
        <f>Break!A119</f>
        <v>Del_Sapna Sharma (1008629)</v>
      </c>
      <c r="B119" t="str">
        <f t="shared" si="16"/>
        <v xml:space="preserve">Sapna Sharma </v>
      </c>
      <c r="C119" s="5" t="str">
        <f t="shared" si="17"/>
        <v>08:04:14</v>
      </c>
      <c r="D119" s="5" t="str">
        <f t="shared" si="18"/>
        <v>04:33:29</v>
      </c>
      <c r="E119" s="5" t="str">
        <f t="shared" si="19"/>
        <v>01:32:37</v>
      </c>
      <c r="F119">
        <f t="shared" si="20"/>
        <v>76</v>
      </c>
      <c r="G119" s="6">
        <f t="shared" si="21"/>
        <v>0.53238796723342696</v>
      </c>
    </row>
    <row r="120" spans="1:7" x14ac:dyDescent="0.3">
      <c r="A120" t="str">
        <f>Break!A120</f>
        <v>Del_Saroj Parita (1008630)</v>
      </c>
      <c r="B120" t="str">
        <f t="shared" si="16"/>
        <v xml:space="preserve">Saroj Parita </v>
      </c>
      <c r="C120" s="5" t="str">
        <f t="shared" si="17"/>
        <v>08:01:59</v>
      </c>
      <c r="D120" s="5" t="str">
        <f t="shared" si="18"/>
        <v>04:31:42</v>
      </c>
      <c r="E120" s="5" t="str">
        <f t="shared" si="19"/>
        <v>01:45:37</v>
      </c>
      <c r="F120">
        <f t="shared" si="20"/>
        <v>77</v>
      </c>
      <c r="G120" s="6">
        <f t="shared" si="21"/>
        <v>0.47020989660776702</v>
      </c>
    </row>
    <row r="121" spans="1:7" x14ac:dyDescent="0.3">
      <c r="A121" t="str">
        <f>Break!A121</f>
        <v>Del_Shailaja Kamal (1008631)</v>
      </c>
      <c r="B121" t="str">
        <f t="shared" si="16"/>
        <v xml:space="preserve">Shailaja Kamal </v>
      </c>
      <c r="C121" s="5" t="str">
        <f t="shared" si="17"/>
        <v>08:09:14</v>
      </c>
      <c r="D121" s="5" t="str">
        <f t="shared" si="18"/>
        <v>04:51:46</v>
      </c>
      <c r="E121" s="5" t="str">
        <f t="shared" si="19"/>
        <v>01:08:46</v>
      </c>
      <c r="F121">
        <f t="shared" si="20"/>
        <v>78</v>
      </c>
      <c r="G121" s="6">
        <f t="shared" si="21"/>
        <v>0.54633099407235797</v>
      </c>
    </row>
    <row r="122" spans="1:7" x14ac:dyDescent="0.3">
      <c r="A122" t="str">
        <f>Break!A122</f>
        <v>Del_Shailendra Barge (1008632)</v>
      </c>
      <c r="B122" t="str">
        <f t="shared" si="16"/>
        <v xml:space="preserve">Shailendra Barge </v>
      </c>
      <c r="C122" s="5" t="str">
        <f t="shared" si="17"/>
        <v>08:17:38</v>
      </c>
      <c r="D122" s="5" t="str">
        <f t="shared" si="18"/>
        <v>03:26:09</v>
      </c>
      <c r="E122" s="5" t="str">
        <f t="shared" si="19"/>
        <v>03:43:06</v>
      </c>
      <c r="F122">
        <f t="shared" si="20"/>
        <v>79</v>
      </c>
      <c r="G122" s="6">
        <f t="shared" si="21"/>
        <v>0.38820416638756799</v>
      </c>
    </row>
    <row r="123" spans="1:7" x14ac:dyDescent="0.3">
      <c r="A123" t="str">
        <f>Break!A123</f>
        <v>Del_Shankar Attendant (1008633)</v>
      </c>
      <c r="B123" t="str">
        <f t="shared" si="16"/>
        <v xml:space="preserve">Shankar Attendant </v>
      </c>
      <c r="C123" s="5" t="str">
        <f t="shared" si="17"/>
        <v>07:57:56</v>
      </c>
      <c r="D123" s="5" t="str">
        <f t="shared" si="18"/>
        <v>03:27:15</v>
      </c>
      <c r="E123" s="5" t="str">
        <f t="shared" si="19"/>
        <v>03:15:05</v>
      </c>
      <c r="F123">
        <f t="shared" si="20"/>
        <v>80</v>
      </c>
      <c r="G123" s="6">
        <f t="shared" si="21"/>
        <v>0.40277584042404802</v>
      </c>
    </row>
    <row r="124" spans="1:7" x14ac:dyDescent="0.3">
      <c r="A124" t="str">
        <f>Break!A124</f>
        <v>Del_Shashikant Tiwari (1008634)</v>
      </c>
      <c r="B124" t="str">
        <f t="shared" si="16"/>
        <v xml:space="preserve">Shashikant Tiwari </v>
      </c>
      <c r="C124" s="5" t="str">
        <f t="shared" si="17"/>
        <v>08:14:55</v>
      </c>
      <c r="D124" s="5" t="str">
        <f t="shared" si="18"/>
        <v>05:19:10</v>
      </c>
      <c r="E124" s="5" t="str">
        <f t="shared" si="19"/>
        <v>01:09:59</v>
      </c>
      <c r="F124">
        <f t="shared" si="20"/>
        <v>81</v>
      </c>
      <c r="G124" s="6">
        <f t="shared" si="21"/>
        <v>0.54352584610203702</v>
      </c>
    </row>
    <row r="125" spans="1:7" x14ac:dyDescent="0.3">
      <c r="A125" t="str">
        <f>Break!A125</f>
        <v>Del_Sheeba Joseph (1008635)</v>
      </c>
      <c r="B125" t="str">
        <f t="shared" si="16"/>
        <v xml:space="preserve">Sheeba Joseph </v>
      </c>
      <c r="C125" s="5" t="str">
        <f t="shared" si="17"/>
        <v>08:30:57</v>
      </c>
      <c r="D125" s="5" t="str">
        <f t="shared" si="18"/>
        <v>03:41:07</v>
      </c>
      <c r="E125" s="5" t="str">
        <f t="shared" si="19"/>
        <v>00:55:39</v>
      </c>
      <c r="F125">
        <f t="shared" si="20"/>
        <v>82</v>
      </c>
      <c r="G125" s="6">
        <f t="shared" si="21"/>
        <v>0.28371986821932998</v>
      </c>
    </row>
    <row r="126" spans="1:7" x14ac:dyDescent="0.3">
      <c r="A126" t="str">
        <f>Break!A126</f>
        <v>Del_Sheena Joseph (1008636)</v>
      </c>
      <c r="B126" t="str">
        <f t="shared" si="16"/>
        <v xml:space="preserve">Sheena Joseph </v>
      </c>
      <c r="C126" s="5" t="str">
        <f t="shared" si="17"/>
        <v>08:49:34</v>
      </c>
      <c r="D126" s="5" t="str">
        <f t="shared" si="18"/>
        <v>05:10:26</v>
      </c>
      <c r="E126" s="5" t="str">
        <f t="shared" si="19"/>
        <v>01:41:30</v>
      </c>
      <c r="F126">
        <f t="shared" si="20"/>
        <v>83</v>
      </c>
      <c r="G126" s="6">
        <f t="shared" si="21"/>
        <v>0.56196890539434796</v>
      </c>
    </row>
    <row r="127" spans="1:7" x14ac:dyDescent="0.3">
      <c r="A127" t="str">
        <f>Break!A127</f>
        <v>Del_Shephali Jain (1008637)</v>
      </c>
      <c r="B127" t="str">
        <f t="shared" si="16"/>
        <v xml:space="preserve">Shephali Jain </v>
      </c>
      <c r="C127" s="5" t="str">
        <f t="shared" si="17"/>
        <v>08:25:43</v>
      </c>
      <c r="D127" s="5" t="str">
        <f t="shared" si="18"/>
        <v>03:41:29</v>
      </c>
      <c r="E127" s="5" t="str">
        <f t="shared" si="19"/>
        <v>03:23:49</v>
      </c>
      <c r="F127">
        <f t="shared" si="20"/>
        <v>84</v>
      </c>
      <c r="G127" s="6">
        <f t="shared" si="21"/>
        <v>0.40332201825791802</v>
      </c>
    </row>
    <row r="128" spans="1:7" x14ac:dyDescent="0.3">
      <c r="A128" t="str">
        <f>Break!A128</f>
        <v>Del_Shivji Prasad (1008638)</v>
      </c>
      <c r="B128" t="str">
        <f t="shared" si="16"/>
        <v xml:space="preserve">Shivji Prasad </v>
      </c>
      <c r="C128" s="5" t="str">
        <f t="shared" si="17"/>
        <v>08:11:40</v>
      </c>
      <c r="D128" s="5" t="str">
        <f t="shared" si="18"/>
        <v>04:12:39</v>
      </c>
      <c r="E128" s="5" t="str">
        <f t="shared" si="19"/>
        <v>02:17:48</v>
      </c>
      <c r="F128">
        <f t="shared" si="20"/>
        <v>85</v>
      </c>
      <c r="G128" s="6">
        <f t="shared" si="21"/>
        <v>0.43796610169491501</v>
      </c>
    </row>
    <row r="129" spans="1:7" x14ac:dyDescent="0.3">
      <c r="A129" t="str">
        <f>Break!A129</f>
        <v>Del_Shubhanjali Joshi (1008639)</v>
      </c>
      <c r="B129" t="str">
        <f t="shared" si="16"/>
        <v xml:space="preserve">Shubhanjali Joshi </v>
      </c>
      <c r="C129" s="5" t="str">
        <f t="shared" si="17"/>
        <v>08:17:17</v>
      </c>
      <c r="D129" s="5" t="str">
        <f t="shared" si="18"/>
        <v>04:54:52</v>
      </c>
      <c r="E129" s="5" t="str">
        <f t="shared" si="19"/>
        <v>01:19:32</v>
      </c>
      <c r="F129">
        <f t="shared" si="20"/>
        <v>86</v>
      </c>
      <c r="G129" s="6">
        <f t="shared" si="21"/>
        <v>0.55581995508931903</v>
      </c>
    </row>
    <row r="130" spans="1:7" x14ac:dyDescent="0.3">
      <c r="A130" t="str">
        <f>Break!A130</f>
        <v>Del_Shyamal Malakar (1008640)</v>
      </c>
      <c r="B130" t="str">
        <f t="shared" si="16"/>
        <v xml:space="preserve">Shyamal Malakar </v>
      </c>
      <c r="C130" s="5" t="str">
        <f t="shared" ref="C130:C150" si="22">VLOOKUP($A130,Efficiency,2,0)</f>
        <v>08:15:36</v>
      </c>
      <c r="D130" s="5" t="str">
        <f t="shared" ref="D130:D150" si="23">VLOOKUP(A130,Efficiency,3,0)</f>
        <v>02:53:35</v>
      </c>
      <c r="E130" s="5" t="str">
        <f t="shared" ref="E130:E150" si="24">VLOOKUP(A130,Break,9,0)</f>
        <v>04:35:37</v>
      </c>
      <c r="F130">
        <f t="shared" ref="F130:F150" si="25">VLOOKUP(A130,OverAll,2,0)</f>
        <v>87</v>
      </c>
      <c r="G130" s="6">
        <f t="shared" ref="G130:G150" si="26">VLOOKUP(A130,Efficiency,6,0)</f>
        <v>0.326035781544256</v>
      </c>
    </row>
    <row r="131" spans="1:7" x14ac:dyDescent="0.3">
      <c r="A131" t="str">
        <f>Break!A131</f>
        <v>Del_Sneh Khan (1008641)</v>
      </c>
      <c r="B131" t="str">
        <f t="shared" ref="B131:B150" si="27">MID(A131,FIND("_",A131,1)+1,FIND("(",A131,1)-FIND("_",A131,1)-1)</f>
        <v xml:space="preserve">Sneh Khan </v>
      </c>
      <c r="C131" s="5" t="str">
        <f t="shared" si="22"/>
        <v>08:09:15</v>
      </c>
      <c r="D131" s="5" t="str">
        <f t="shared" si="23"/>
        <v>05:06:25</v>
      </c>
      <c r="E131" s="5" t="str">
        <f t="shared" si="24"/>
        <v>01:09:51</v>
      </c>
      <c r="F131">
        <f t="shared" si="25"/>
        <v>88</v>
      </c>
      <c r="G131" s="6">
        <f t="shared" si="26"/>
        <v>0.57404190086867701</v>
      </c>
    </row>
    <row r="132" spans="1:7" x14ac:dyDescent="0.3">
      <c r="A132" t="str">
        <f>Break!A132</f>
        <v>Del_Sonaram Munda (1008642)</v>
      </c>
      <c r="B132" t="str">
        <f t="shared" si="27"/>
        <v xml:space="preserve">Sonaram Munda </v>
      </c>
      <c r="C132" s="5" t="str">
        <f t="shared" si="22"/>
        <v>08:00:41</v>
      </c>
      <c r="D132" s="5" t="str">
        <f t="shared" si="23"/>
        <v>04:11:10</v>
      </c>
      <c r="E132" s="5" t="str">
        <f t="shared" si="24"/>
        <v>01:57:15</v>
      </c>
      <c r="F132">
        <f t="shared" si="25"/>
        <v>89</v>
      </c>
      <c r="G132" s="6">
        <f t="shared" si="26"/>
        <v>0.45359037481363301</v>
      </c>
    </row>
    <row r="133" spans="1:7" x14ac:dyDescent="0.3">
      <c r="A133" t="str">
        <f>Break!A133</f>
        <v>Del_Sudama Kumar (1008643)</v>
      </c>
      <c r="B133" t="str">
        <f t="shared" si="27"/>
        <v xml:space="preserve">Sudama Kumar </v>
      </c>
      <c r="C133" s="5" t="str">
        <f t="shared" si="22"/>
        <v>08:09:47</v>
      </c>
      <c r="D133" s="5" t="str">
        <f t="shared" si="23"/>
        <v>02:38:49</v>
      </c>
      <c r="E133" s="5" t="str">
        <f t="shared" si="24"/>
        <v>04:36:20</v>
      </c>
      <c r="F133">
        <f t="shared" si="25"/>
        <v>90</v>
      </c>
      <c r="G133" s="6">
        <f t="shared" si="26"/>
        <v>0.29689998979140397</v>
      </c>
    </row>
    <row r="134" spans="1:7" x14ac:dyDescent="0.3">
      <c r="A134" t="str">
        <f>Break!A134</f>
        <v>Del_Sudhir Kumar (1008644)</v>
      </c>
      <c r="B134" t="str">
        <f t="shared" si="27"/>
        <v xml:space="preserve">Sudhir Kumar </v>
      </c>
      <c r="C134" s="5" t="str">
        <f t="shared" si="22"/>
        <v>08:00:18</v>
      </c>
      <c r="D134" s="5" t="str">
        <f t="shared" si="23"/>
        <v>04:35:36</v>
      </c>
      <c r="E134" s="5" t="str">
        <f t="shared" si="24"/>
        <v>01:14:24</v>
      </c>
      <c r="F134">
        <f t="shared" si="25"/>
        <v>91</v>
      </c>
      <c r="G134" s="6">
        <f t="shared" si="26"/>
        <v>0.55729058227496697</v>
      </c>
    </row>
    <row r="135" spans="1:7" x14ac:dyDescent="0.3">
      <c r="A135" t="str">
        <f>Break!A135</f>
        <v>Del_Sunil Kumar (1008645)</v>
      </c>
      <c r="B135" t="str">
        <f t="shared" si="27"/>
        <v xml:space="preserve">Sunil Kumar </v>
      </c>
      <c r="C135" s="5" t="str">
        <f t="shared" si="22"/>
        <v>08:03:26</v>
      </c>
      <c r="D135" s="5" t="str">
        <f t="shared" si="23"/>
        <v>02:58:37</v>
      </c>
      <c r="E135" s="5" t="str">
        <f t="shared" si="24"/>
        <v>03:56:57</v>
      </c>
      <c r="F135">
        <f t="shared" si="25"/>
        <v>92</v>
      </c>
      <c r="G135" s="6">
        <f t="shared" si="26"/>
        <v>0.33279321519685601</v>
      </c>
    </row>
    <row r="136" spans="1:7" x14ac:dyDescent="0.3">
      <c r="A136" t="str">
        <f>Break!A136</f>
        <v>Del_Sunil Kumar (1008646)</v>
      </c>
      <c r="B136" t="str">
        <f t="shared" si="27"/>
        <v xml:space="preserve">Sunil Kumar </v>
      </c>
      <c r="C136" s="5" t="str">
        <f t="shared" si="22"/>
        <v>08:05:06</v>
      </c>
      <c r="D136" s="5" t="str">
        <f t="shared" si="23"/>
        <v>04:05:03</v>
      </c>
      <c r="E136" s="5" t="str">
        <f t="shared" si="24"/>
        <v>02:16:51</v>
      </c>
      <c r="F136">
        <f t="shared" si="25"/>
        <v>93</v>
      </c>
      <c r="G136" s="6">
        <f t="shared" si="26"/>
        <v>0.472308115165258</v>
      </c>
    </row>
    <row r="137" spans="1:7" x14ac:dyDescent="0.3">
      <c r="A137" t="str">
        <f>Break!A137</f>
        <v>Del_Sunita Chawla (1008647)</v>
      </c>
      <c r="B137" t="str">
        <f t="shared" si="27"/>
        <v xml:space="preserve">Sunita Chawla </v>
      </c>
      <c r="C137" s="5" t="str">
        <f t="shared" si="22"/>
        <v>08:05:25</v>
      </c>
      <c r="D137" s="5" t="str">
        <f t="shared" si="23"/>
        <v>04:31:57</v>
      </c>
      <c r="E137" s="5" t="str">
        <f t="shared" si="24"/>
        <v>02:06:43</v>
      </c>
      <c r="F137">
        <f t="shared" si="25"/>
        <v>94</v>
      </c>
      <c r="G137" s="6">
        <f t="shared" si="26"/>
        <v>0.51110729613733896</v>
      </c>
    </row>
    <row r="138" spans="1:7" x14ac:dyDescent="0.3">
      <c r="A138" t="str">
        <f>Break!A138</f>
        <v>Del_Sunita Madnani (1008648)</v>
      </c>
      <c r="B138" t="str">
        <f t="shared" si="27"/>
        <v xml:space="preserve">Sunita Madnani </v>
      </c>
      <c r="C138" s="5" t="str">
        <f t="shared" si="22"/>
        <v>08:14:02</v>
      </c>
      <c r="D138" s="5" t="str">
        <f t="shared" si="23"/>
        <v>05:19:12</v>
      </c>
      <c r="E138" s="5" t="str">
        <f t="shared" si="24"/>
        <v>01:08:15</v>
      </c>
      <c r="F138">
        <f t="shared" si="25"/>
        <v>95</v>
      </c>
      <c r="G138" s="6">
        <f t="shared" si="26"/>
        <v>0.58886040078267299</v>
      </c>
    </row>
    <row r="139" spans="1:7" x14ac:dyDescent="0.3">
      <c r="A139" t="str">
        <f>Break!A139</f>
        <v>Del_Surendra Kumar (1008649)</v>
      </c>
      <c r="B139" t="str">
        <f t="shared" si="27"/>
        <v xml:space="preserve">Surendra Kumar </v>
      </c>
      <c r="C139" s="5" t="str">
        <f t="shared" si="22"/>
        <v>07:29:10</v>
      </c>
      <c r="D139" s="5" t="str">
        <f t="shared" si="23"/>
        <v>02:54:25</v>
      </c>
      <c r="E139" s="5" t="str">
        <f t="shared" si="24"/>
        <v>03:46:52</v>
      </c>
      <c r="F139">
        <f t="shared" si="25"/>
        <v>96</v>
      </c>
      <c r="G139" s="6">
        <f t="shared" si="26"/>
        <v>0.34289424860853401</v>
      </c>
    </row>
    <row r="140" spans="1:7" x14ac:dyDescent="0.3">
      <c r="A140" t="str">
        <f>Break!A140</f>
        <v>Del_Surendranath Thakur (1008650)</v>
      </c>
      <c r="B140" t="str">
        <f t="shared" si="27"/>
        <v xml:space="preserve">Surendranath Thakur </v>
      </c>
      <c r="C140" s="5" t="str">
        <f t="shared" si="22"/>
        <v>08:33:53</v>
      </c>
      <c r="D140" s="5" t="str">
        <f t="shared" si="23"/>
        <v>04:36:50</v>
      </c>
      <c r="E140" s="5" t="str">
        <f t="shared" si="24"/>
        <v>02:17:05</v>
      </c>
      <c r="F140">
        <f t="shared" si="25"/>
        <v>97</v>
      </c>
      <c r="G140" s="6">
        <f t="shared" si="26"/>
        <v>0.497486459313074</v>
      </c>
    </row>
    <row r="141" spans="1:7" x14ac:dyDescent="0.3">
      <c r="A141" t="str">
        <f>Break!A141</f>
        <v>Del_Sushma Khandelwal (1008651)</v>
      </c>
      <c r="B141" t="str">
        <f t="shared" si="27"/>
        <v xml:space="preserve">Sushma Khandelwal </v>
      </c>
      <c r="C141" s="5" t="str">
        <f t="shared" si="22"/>
        <v>08:15:15</v>
      </c>
      <c r="D141" s="5" t="str">
        <f t="shared" si="23"/>
        <v>04:50:07</v>
      </c>
      <c r="E141" s="5" t="str">
        <f t="shared" si="24"/>
        <v>01:10:21</v>
      </c>
      <c r="F141">
        <f t="shared" si="25"/>
        <v>98</v>
      </c>
      <c r="G141" s="6">
        <f t="shared" si="26"/>
        <v>0.52431431936732298</v>
      </c>
    </row>
    <row r="142" spans="1:7" x14ac:dyDescent="0.3">
      <c r="A142" t="str">
        <f>Break!A142</f>
        <v>Del_Swarnlata Borse (1008652)</v>
      </c>
      <c r="B142" t="str">
        <f t="shared" si="27"/>
        <v xml:space="preserve">Swarnlata Borse </v>
      </c>
      <c r="C142" s="5" t="str">
        <f t="shared" si="22"/>
        <v>08:19:05</v>
      </c>
      <c r="D142" s="5" t="str">
        <f t="shared" si="23"/>
        <v>02:59:39</v>
      </c>
      <c r="E142" s="5" t="str">
        <f t="shared" si="24"/>
        <v>04:32:37</v>
      </c>
      <c r="F142">
        <f t="shared" si="25"/>
        <v>99</v>
      </c>
      <c r="G142" s="6">
        <f t="shared" si="26"/>
        <v>0.31066956086157999</v>
      </c>
    </row>
    <row r="143" spans="1:7" x14ac:dyDescent="0.3">
      <c r="A143" t="str">
        <f>Break!A143</f>
        <v>Del_Syed Naved (1008653)</v>
      </c>
      <c r="B143" t="str">
        <f t="shared" si="27"/>
        <v xml:space="preserve">Syed Naved </v>
      </c>
      <c r="C143" s="5" t="str">
        <f t="shared" si="22"/>
        <v>08:13:39</v>
      </c>
      <c r="D143" s="5" t="str">
        <f t="shared" si="23"/>
        <v>05:24:05</v>
      </c>
      <c r="E143" s="5" t="str">
        <f t="shared" si="24"/>
        <v>01:14:44</v>
      </c>
      <c r="F143">
        <f t="shared" si="25"/>
        <v>100</v>
      </c>
      <c r="G143" s="6">
        <f t="shared" si="26"/>
        <v>0.58462473412336702</v>
      </c>
    </row>
    <row r="144" spans="1:7" x14ac:dyDescent="0.3">
      <c r="A144" t="str">
        <f>Break!A144</f>
        <v>Del_Syed Saqib (1008654)</v>
      </c>
      <c r="B144" t="str">
        <f t="shared" si="27"/>
        <v xml:space="preserve">Syed Saqib </v>
      </c>
      <c r="C144" s="5" t="str">
        <f t="shared" si="22"/>
        <v>08:24:48</v>
      </c>
      <c r="D144" s="5" t="str">
        <f t="shared" si="23"/>
        <v>02:52:08</v>
      </c>
      <c r="E144" s="5" t="str">
        <f t="shared" si="24"/>
        <v>05:03:34</v>
      </c>
      <c r="F144">
        <f t="shared" si="25"/>
        <v>101</v>
      </c>
      <c r="G144" s="6">
        <f t="shared" si="26"/>
        <v>0.31685816164817698</v>
      </c>
    </row>
    <row r="145" spans="1:7" x14ac:dyDescent="0.3">
      <c r="A145" t="str">
        <f>Break!A145</f>
        <v>Del_Syed Sohail (1008655)</v>
      </c>
      <c r="B145" t="str">
        <f t="shared" si="27"/>
        <v xml:space="preserve">Syed Sohail </v>
      </c>
      <c r="C145" s="5" t="str">
        <f t="shared" si="22"/>
        <v>08:17:53</v>
      </c>
      <c r="D145" s="5" t="str">
        <f t="shared" si="23"/>
        <v>04:51:52</v>
      </c>
      <c r="E145" s="5" t="str">
        <f t="shared" si="24"/>
        <v>01:12:04</v>
      </c>
      <c r="F145">
        <f t="shared" si="25"/>
        <v>102</v>
      </c>
      <c r="G145" s="6">
        <f t="shared" si="26"/>
        <v>0.56375322197301903</v>
      </c>
    </row>
    <row r="146" spans="1:7" x14ac:dyDescent="0.3">
      <c r="A146" t="str">
        <f>Break!A146</f>
        <v>Del_System Operator (1008656)</v>
      </c>
      <c r="B146" t="str">
        <f t="shared" si="27"/>
        <v xml:space="preserve">System Operator </v>
      </c>
      <c r="C146" s="5" t="str">
        <f t="shared" si="22"/>
        <v>08:30:54</v>
      </c>
      <c r="D146" s="5" t="str">
        <f t="shared" si="23"/>
        <v>05:15:36</v>
      </c>
      <c r="E146" s="5" t="str">
        <f t="shared" si="24"/>
        <v>00:56:05</v>
      </c>
      <c r="F146">
        <f t="shared" si="25"/>
        <v>103</v>
      </c>
      <c r="G146" s="6">
        <f t="shared" si="26"/>
        <v>0.54779147908918902</v>
      </c>
    </row>
    <row r="147" spans="1:7" x14ac:dyDescent="0.3">
      <c r="A147" t="str">
        <f>Break!A147</f>
        <v>Del_Tahira Qureshi (1008657)</v>
      </c>
      <c r="B147" t="str">
        <f t="shared" si="27"/>
        <v xml:space="preserve">Tahira Qureshi </v>
      </c>
      <c r="C147" s="5" t="str">
        <f t="shared" si="22"/>
        <v>08:46:13</v>
      </c>
      <c r="D147" s="5" t="str">
        <f t="shared" si="23"/>
        <v>03:36:51</v>
      </c>
      <c r="E147" s="5" t="str">
        <f t="shared" si="24"/>
        <v>04:02:30</v>
      </c>
      <c r="F147">
        <f t="shared" si="25"/>
        <v>104</v>
      </c>
      <c r="G147" s="6">
        <f t="shared" si="26"/>
        <v>0.37965983593576802</v>
      </c>
    </row>
    <row r="148" spans="1:7" x14ac:dyDescent="0.3">
      <c r="A148" t="str">
        <f>Break!A148</f>
        <v>Del_Tapas Chakraborty (1008658)</v>
      </c>
      <c r="B148" t="str">
        <f t="shared" si="27"/>
        <v xml:space="preserve">Tapas Chakraborty </v>
      </c>
      <c r="C148" s="5" t="str">
        <f t="shared" si="22"/>
        <v>08:14:56</v>
      </c>
      <c r="D148" s="5" t="str">
        <f t="shared" si="23"/>
        <v>05:15:14</v>
      </c>
      <c r="E148" s="5" t="str">
        <f t="shared" si="24"/>
        <v>01:12:11</v>
      </c>
      <c r="F148">
        <f t="shared" si="25"/>
        <v>105</v>
      </c>
      <c r="G148" s="6">
        <f t="shared" si="26"/>
        <v>0.56529498922413801</v>
      </c>
    </row>
    <row r="149" spans="1:7" x14ac:dyDescent="0.3">
      <c r="A149" t="str">
        <f>Break!A149</f>
        <v>Del_Tariq Akhlaq (1008659)</v>
      </c>
      <c r="B149" t="str">
        <f t="shared" si="27"/>
        <v xml:space="preserve">Tariq Akhlaq </v>
      </c>
      <c r="C149" s="5" t="str">
        <f t="shared" si="22"/>
        <v>04:59:55</v>
      </c>
      <c r="D149" s="5" t="str">
        <f t="shared" si="23"/>
        <v>03:08:41</v>
      </c>
      <c r="E149" s="5" t="str">
        <f t="shared" si="24"/>
        <v>00:15:03</v>
      </c>
      <c r="F149">
        <f t="shared" si="25"/>
        <v>106</v>
      </c>
      <c r="G149" s="6">
        <f t="shared" si="26"/>
        <v>0.60261183662128404</v>
      </c>
    </row>
    <row r="150" spans="1:7" x14ac:dyDescent="0.3">
      <c r="A150" t="str">
        <f>Break!A150</f>
        <v>Del_Tasneem Khan (1008660)</v>
      </c>
      <c r="B150" t="str">
        <f t="shared" si="27"/>
        <v xml:space="preserve">Tasneem Khan </v>
      </c>
      <c r="C150" s="5" t="str">
        <f t="shared" si="22"/>
        <v>08:33:55</v>
      </c>
      <c r="D150" s="5" t="str">
        <f t="shared" si="23"/>
        <v>04:38:49</v>
      </c>
      <c r="E150" s="5" t="str">
        <f t="shared" si="24"/>
        <v>02:16:51</v>
      </c>
      <c r="F150">
        <f t="shared" si="25"/>
        <v>107</v>
      </c>
      <c r="G150" s="6">
        <f t="shared" si="26"/>
        <v>0.49813523593319298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Efficiency</vt:lpstr>
      <vt:lpstr>Break</vt:lpstr>
      <vt:lpstr>OverAll Performance</vt:lpstr>
      <vt:lpstr>Summary</vt:lpstr>
      <vt:lpstr>Break</vt:lpstr>
      <vt:lpstr>Efficiency</vt:lpstr>
      <vt:lpstr>OverAll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Tirupati Enterprises</dc:creator>
  <cp:lastModifiedBy>Tirupati Enterprises</cp:lastModifiedBy>
  <dcterms:created xsi:type="dcterms:W3CDTF">2026-01-29T12:57:58Z</dcterms:created>
  <dcterms:modified xsi:type="dcterms:W3CDTF">2026-01-29T18:42:11Z</dcterms:modified>
</cp:coreProperties>
</file>